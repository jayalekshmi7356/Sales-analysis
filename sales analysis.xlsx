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96439C4A-7B76-443D-9626-13AEA2D07205}" xr6:coauthVersionLast="47" xr6:coauthVersionMax="47" xr10:uidLastSave="{00000000-0000-0000-0000-000000000000}"/>
  <bookViews>
    <workbookView xWindow="-108" yWindow="-108" windowWidth="23256" windowHeight="14616" activeTab="2" xr2:uid="{00000000-000D-0000-FFFF-FFFF00000000}"/>
  </bookViews>
  <sheets>
    <sheet name="Detail1" sheetId="3" r:id="rId1"/>
    <sheet name="Detail2" sheetId="5" r:id="rId2"/>
    <sheet name="Sheet1" sheetId="2" r:id="rId3"/>
    <sheet name="Sales" sheetId="1" r:id="rId4"/>
  </sheets>
  <definedNames>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alcChain>
</file>

<file path=xl/sharedStrings.xml><?xml version="1.0" encoding="utf-8"?>
<sst xmlns="http://schemas.openxmlformats.org/spreadsheetml/2006/main" count="445" uniqueCount="129">
  <si>
    <t>OrderID</t>
  </si>
  <si>
    <t>Date</t>
  </si>
  <si>
    <t>Product</t>
  </si>
  <si>
    <t>Quantity</t>
  </si>
  <si>
    <t>UnitPrice</t>
  </si>
  <si>
    <t>TotalSales</t>
  </si>
  <si>
    <t>Region</t>
  </si>
  <si>
    <t>2024-01-02</t>
  </si>
  <si>
    <t>Mobile</t>
  </si>
  <si>
    <t>West</t>
  </si>
  <si>
    <t>2024-01-03</t>
  </si>
  <si>
    <t>Headphones</t>
  </si>
  <si>
    <t>North</t>
  </si>
  <si>
    <t>2024-01-04</t>
  </si>
  <si>
    <t>East</t>
  </si>
  <si>
    <t>2024-01-05</t>
  </si>
  <si>
    <t>South</t>
  </si>
  <si>
    <t>2024-01-06</t>
  </si>
  <si>
    <t>2024-01-07</t>
  </si>
  <si>
    <t>2024-01-08</t>
  </si>
  <si>
    <t>Monitor</t>
  </si>
  <si>
    <t>2024-01-09</t>
  </si>
  <si>
    <t>Tablet</t>
  </si>
  <si>
    <t>2024-01-10</t>
  </si>
  <si>
    <t>2024-01-11</t>
  </si>
  <si>
    <t>2024-01-12</t>
  </si>
  <si>
    <t>2024-01-13</t>
  </si>
  <si>
    <t>Laptop</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</si>
  <si>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</si>
  <si>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</si>
  <si>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</si>
  <si>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</si>
  <si>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</si>
  <si>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</si>
  <si>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</si>
  <si>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</si>
  <si>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</si>
  <si>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</si>
  <si>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</si>
  <si>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</si>
  <si>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</si>
  <si>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</si>
  <si>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</si>
  <si>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</si>
  <si>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</si>
  <si>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</si>
  <si>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</si>
  <si>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</si>
  <si>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</si>
  <si>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</si>
  <si>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</si>
  <si>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</si>
  <si>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</si>
  <si>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</si>
  <si>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</si>
  <si>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</si>
  <si>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</si>
  <si>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</si>
  <si>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</si>
  <si>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</si>
  <si>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</si>
  <si>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</si>
  <si>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</si>
  <si>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</si>
  <si>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</si>
  <si>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</si>
  <si>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</si>
  <si>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</si>
  <si>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</si>
  <si>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</si>
  <si>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</si>
  <si>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</si>
  <si>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</si>
  <si>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</si>
  <si>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</si>
  <si>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</si>
  <si>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</si>
  <si>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</si>
  <si>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</si>
  <si>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</si>
  <si>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</si>
  <si>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</si>
  <si>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</si>
  <si>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</si>
  <si>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</si>
  <si>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</si>
  <si>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</si>
  <si>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</si>
  <si>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</si>
  <si>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</si>
  <si>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</si>
  <si>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</si>
  <si>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</si>
  <si>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</si>
  <si>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</si>
  <si>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</si>
  <si>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</si>
  <si>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</si>
  <si>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</si>
  <si>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</si>
  <si>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</si>
  <si>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</si>
  <si>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</si>
  <si>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</si>
  <si>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</si>
  <si>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</si>
  <si>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</si>
  <si>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</si>
  <si>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</si>
  <si>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</si>
  <si>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</si>
  <si>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</si>
  <si>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</si>
  <si>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</si>
  <si>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</si>
  <si>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</si>
  <si>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(All)</t>
  </si>
  <si>
    <t>Row Labels</t>
  </si>
  <si>
    <t>Grand Total</t>
  </si>
  <si>
    <t>Sum of TotalSales</t>
  </si>
  <si>
    <t>Column Labels</t>
  </si>
  <si>
    <t>Sum of Quantity</t>
  </si>
  <si>
    <t>Average of TotalSales</t>
  </si>
  <si>
    <t>Details for Sum of TotalSales - Quantity: 2</t>
  </si>
  <si>
    <t>month</t>
  </si>
  <si>
    <t xml:space="preserve">avg_totalsales </t>
  </si>
  <si>
    <t xml:space="preserve">Sum of avg_totalsales </t>
  </si>
  <si>
    <t>Jan</t>
  </si>
  <si>
    <t>Details for Average of TotalSales - OrderID: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</si>
</sst>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Headphones</c:v>
                </c:pt>
                <c:pt idx="1">
                  <c:v>Laptop</c:v>
                </c:pt>
                <c:pt idx="2">
                  <c:v>Mobile</c:v>
                </c:pt>
                <c:pt idx="3">
                  <c:v>Monitor</c:v>
                </c:pt>
                <c:pt idx="4">
                  <c:v>Tablet</c:v>
                </c:pt>
              </c:strCache>
            </c:strRef>
          </c:cat>
          <c:val>
            <c:numRef>
              <c:f>Sheet1!$B$4:$B$9</c:f>
              <c:numCache>
                <c:formatCode>General</c:formatCode>
                <c:ptCount val="5"/>
                <c:pt idx="0">
                  <c:v>1740946</c:v>
                </c:pt>
                <c:pt idx="1">
                  <c:v>2204191</c:v>
                </c:pt>
                <c:pt idx="2">
                  <c:v>1939196</c:v>
                </c:pt>
                <c:pt idx="3">
                  <c:v>1336627</c:v>
                </c:pt>
                <c:pt idx="4">
                  <c:v>2015238</c:v>
                </c:pt>
              </c:numCache>
            </c:numRef>
          </c:val>
          <c:extLst>
            <c:ext xmlns:c16="http://schemas.microsoft.com/office/drawing/2014/chart" uri="{C3380CC4-5D6E-409C-BE32-E72D297353CC}">
              <c16:uniqueId val="{00000000-49D5-4AB2-9827-7FE427D5D9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500133405310152"/>
          <c:y val="0.53944740493296928"/>
          <c:w val="0.24998677747145587"/>
          <c:h val="0.46032547699214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53913018937148"/>
          <c:y val="0.39690358307484291"/>
          <c:w val="0.55342371518076372"/>
          <c:h val="0.36965073968026724"/>
        </c:manualLayout>
      </c:layout>
      <c:barChart>
        <c:barDir val="col"/>
        <c:grouping val="clustered"/>
        <c:varyColors val="0"/>
        <c:ser>
          <c:idx val="0"/>
          <c:order val="0"/>
          <c:tx>
            <c:strRef>
              <c:f>Sheet1!$B$20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Sheet1!$A$21:$A$25</c:f>
              <c:strCache>
                <c:ptCount val="4"/>
                <c:pt idx="0">
                  <c:v>East</c:v>
                </c:pt>
                <c:pt idx="1">
                  <c:v>North</c:v>
                </c:pt>
                <c:pt idx="2">
                  <c:v>South</c:v>
                </c:pt>
                <c:pt idx="3">
                  <c:v>West</c:v>
                </c:pt>
              </c:strCache>
            </c:strRef>
          </c:cat>
          <c:val>
            <c:numRef>
              <c:f>Sheet1!$B$21:$B$25</c:f>
              <c:numCache>
                <c:formatCode>General</c:formatCode>
                <c:ptCount val="4"/>
                <c:pt idx="0">
                  <c:v>1489255</c:v>
                </c:pt>
                <c:pt idx="1">
                  <c:v>1935000</c:v>
                </c:pt>
                <c:pt idx="2">
                  <c:v>3235667</c:v>
                </c:pt>
                <c:pt idx="3">
                  <c:v>2576276</c:v>
                </c:pt>
              </c:numCache>
            </c:numRef>
          </c:val>
          <c:extLst>
            <c:ext xmlns:c16="http://schemas.microsoft.com/office/drawing/2014/chart" uri="{C3380CC4-5D6E-409C-BE32-E72D297353CC}">
              <c16:uniqueId val="{00000000-73D7-4D1A-8446-8D588C5155E1}"/>
            </c:ext>
          </c:extLst>
        </c:ser>
        <c:dLbls>
          <c:dLblPos val="outEnd"/>
          <c:showLegendKey val="0"/>
          <c:showVal val="1"/>
          <c:showCatName val="0"/>
          <c:showSerName val="0"/>
          <c:showPercent val="0"/>
          <c:showBubbleSize val="0"/>
        </c:dLbls>
        <c:gapWidth val="444"/>
        <c:overlap val="-90"/>
        <c:axId val="1710077759"/>
        <c:axId val="1710074399"/>
      </c:barChart>
      <c:catAx>
        <c:axId val="1710077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10074399"/>
        <c:crosses val="autoZero"/>
        <c:auto val="1"/>
        <c:lblAlgn val="ctr"/>
        <c:lblOffset val="100"/>
        <c:noMultiLvlLbl val="0"/>
      </c:catAx>
      <c:valAx>
        <c:axId val="1710074399"/>
        <c:scaling>
          <c:orientation val="minMax"/>
        </c:scaling>
        <c:delete val="1"/>
        <c:axPos val="l"/>
        <c:numFmt formatCode="General" sourceLinked="1"/>
        <c:majorTickMark val="none"/>
        <c:minorTickMark val="none"/>
        <c:tickLblPos val="nextTo"/>
        <c:crossAx val="171007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(2).xlsx]Sheet1!PivotTable9</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Sheet1!$N$15:$N$16</c:f>
              <c:strCache>
                <c:ptCount val="1"/>
                <c:pt idx="0">
                  <c:v>East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Sheet1!$M$17:$M$22</c:f>
              <c:strCache>
                <c:ptCount val="5"/>
                <c:pt idx="0">
                  <c:v>Headphones</c:v>
                </c:pt>
                <c:pt idx="1">
                  <c:v>Laptop</c:v>
                </c:pt>
                <c:pt idx="2">
                  <c:v>Mobile</c:v>
                </c:pt>
                <c:pt idx="3">
                  <c:v>Monitor</c:v>
                </c:pt>
                <c:pt idx="4">
                  <c:v>Tablet</c:v>
                </c:pt>
              </c:strCache>
            </c:strRef>
          </c:cat>
          <c:val>
            <c:numRef>
              <c:f>Sheet1!$N$17:$N$22</c:f>
              <c:numCache>
                <c:formatCode>General</c:formatCode>
                <c:ptCount val="5"/>
                <c:pt idx="0">
                  <c:v>368941</c:v>
                </c:pt>
                <c:pt idx="1">
                  <c:v>320336</c:v>
                </c:pt>
                <c:pt idx="2">
                  <c:v>319651</c:v>
                </c:pt>
                <c:pt idx="3">
                  <c:v>269298</c:v>
                </c:pt>
                <c:pt idx="4">
                  <c:v>211029</c:v>
                </c:pt>
              </c:numCache>
            </c:numRef>
          </c:val>
          <c:extLst>
            <c:ext xmlns:c16="http://schemas.microsoft.com/office/drawing/2014/chart" uri="{C3380CC4-5D6E-409C-BE32-E72D297353CC}">
              <c16:uniqueId val="{00000000-1682-4E18-A82C-AE217AA95FD8}"/>
            </c:ext>
          </c:extLst>
        </c:ser>
        <c:ser>
          <c:idx val="1"/>
          <c:order val="1"/>
          <c:tx>
            <c:strRef>
              <c:f>Sheet1!$O$15:$O$16</c:f>
              <c:strCache>
                <c:ptCount val="1"/>
                <c:pt idx="0">
                  <c:v>North</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Sheet1!$M$17:$M$22</c:f>
              <c:strCache>
                <c:ptCount val="5"/>
                <c:pt idx="0">
                  <c:v>Headphones</c:v>
                </c:pt>
                <c:pt idx="1">
                  <c:v>Laptop</c:v>
                </c:pt>
                <c:pt idx="2">
                  <c:v>Mobile</c:v>
                </c:pt>
                <c:pt idx="3">
                  <c:v>Monitor</c:v>
                </c:pt>
                <c:pt idx="4">
                  <c:v>Tablet</c:v>
                </c:pt>
              </c:strCache>
            </c:strRef>
          </c:cat>
          <c:val>
            <c:numRef>
              <c:f>Sheet1!$O$17:$O$22</c:f>
              <c:numCache>
                <c:formatCode>General</c:formatCode>
                <c:ptCount val="5"/>
                <c:pt idx="0">
                  <c:v>348793</c:v>
                </c:pt>
                <c:pt idx="1">
                  <c:v>563647</c:v>
                </c:pt>
                <c:pt idx="2">
                  <c:v>481095</c:v>
                </c:pt>
                <c:pt idx="3">
                  <c:v>26768</c:v>
                </c:pt>
                <c:pt idx="4">
                  <c:v>514697</c:v>
                </c:pt>
              </c:numCache>
            </c:numRef>
          </c:val>
          <c:extLst>
            <c:ext xmlns:c16="http://schemas.microsoft.com/office/drawing/2014/chart" uri="{C3380CC4-5D6E-409C-BE32-E72D297353CC}">
              <c16:uniqueId val="{00000001-1682-4E18-A82C-AE217AA95FD8}"/>
            </c:ext>
          </c:extLst>
        </c:ser>
        <c:ser>
          <c:idx val="2"/>
          <c:order val="2"/>
          <c:tx>
            <c:strRef>
              <c:f>Sheet1!$P$15:$P$16</c:f>
              <c:strCache>
                <c:ptCount val="1"/>
                <c:pt idx="0">
                  <c:v>South</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Sheet1!$M$17:$M$22</c:f>
              <c:strCache>
                <c:ptCount val="5"/>
                <c:pt idx="0">
                  <c:v>Headphones</c:v>
                </c:pt>
                <c:pt idx="1">
                  <c:v>Laptop</c:v>
                </c:pt>
                <c:pt idx="2">
                  <c:v>Mobile</c:v>
                </c:pt>
                <c:pt idx="3">
                  <c:v>Monitor</c:v>
                </c:pt>
                <c:pt idx="4">
                  <c:v>Tablet</c:v>
                </c:pt>
              </c:strCache>
            </c:strRef>
          </c:cat>
          <c:val>
            <c:numRef>
              <c:f>Sheet1!$P$17:$P$22</c:f>
              <c:numCache>
                <c:formatCode>General</c:formatCode>
                <c:ptCount val="5"/>
                <c:pt idx="0">
                  <c:v>510972</c:v>
                </c:pt>
                <c:pt idx="1">
                  <c:v>606835</c:v>
                </c:pt>
                <c:pt idx="2">
                  <c:v>790333</c:v>
                </c:pt>
                <c:pt idx="3">
                  <c:v>834737</c:v>
                </c:pt>
                <c:pt idx="4">
                  <c:v>492790</c:v>
                </c:pt>
              </c:numCache>
            </c:numRef>
          </c:val>
          <c:extLst>
            <c:ext xmlns:c16="http://schemas.microsoft.com/office/drawing/2014/chart" uri="{C3380CC4-5D6E-409C-BE32-E72D297353CC}">
              <c16:uniqueId val="{00000002-1682-4E18-A82C-AE217AA95FD8}"/>
            </c:ext>
          </c:extLst>
        </c:ser>
        <c:ser>
          <c:idx val="3"/>
          <c:order val="3"/>
          <c:tx>
            <c:strRef>
              <c:f>Sheet1!$Q$15:$Q$16</c:f>
              <c:strCache>
                <c:ptCount val="1"/>
                <c:pt idx="0">
                  <c:v>West</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Sheet1!$M$17:$M$22</c:f>
              <c:strCache>
                <c:ptCount val="5"/>
                <c:pt idx="0">
                  <c:v>Headphones</c:v>
                </c:pt>
                <c:pt idx="1">
                  <c:v>Laptop</c:v>
                </c:pt>
                <c:pt idx="2">
                  <c:v>Mobile</c:v>
                </c:pt>
                <c:pt idx="3">
                  <c:v>Monitor</c:v>
                </c:pt>
                <c:pt idx="4">
                  <c:v>Tablet</c:v>
                </c:pt>
              </c:strCache>
            </c:strRef>
          </c:cat>
          <c:val>
            <c:numRef>
              <c:f>Sheet1!$Q$17:$Q$22</c:f>
              <c:numCache>
                <c:formatCode>General</c:formatCode>
                <c:ptCount val="5"/>
                <c:pt idx="0">
                  <c:v>512240</c:v>
                </c:pt>
                <c:pt idx="1">
                  <c:v>713373</c:v>
                </c:pt>
                <c:pt idx="2">
                  <c:v>348117</c:v>
                </c:pt>
                <c:pt idx="3">
                  <c:v>205824</c:v>
                </c:pt>
                <c:pt idx="4">
                  <c:v>796722</c:v>
                </c:pt>
              </c:numCache>
            </c:numRef>
          </c:val>
          <c:extLst>
            <c:ext xmlns:c16="http://schemas.microsoft.com/office/drawing/2014/chart" uri="{C3380CC4-5D6E-409C-BE32-E72D297353CC}">
              <c16:uniqueId val="{00000003-1682-4E18-A82C-AE217AA95FD8}"/>
            </c:ext>
          </c:extLst>
        </c:ser>
        <c:dLbls>
          <c:dLblPos val="outEnd"/>
          <c:showLegendKey val="0"/>
          <c:showVal val="1"/>
          <c:showCatName val="0"/>
          <c:showSerName val="0"/>
          <c:showPercent val="0"/>
          <c:showBubbleSize val="0"/>
        </c:dLbls>
        <c:gapWidth val="100"/>
        <c:overlap val="-24"/>
        <c:axId val="1710079679"/>
        <c:axId val="1710080159"/>
      </c:barChart>
      <c:catAx>
        <c:axId val="1710079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080159"/>
        <c:crosses val="autoZero"/>
        <c:auto val="1"/>
        <c:lblAlgn val="ctr"/>
        <c:lblOffset val="100"/>
        <c:noMultiLvlLbl val="0"/>
      </c:catAx>
      <c:valAx>
        <c:axId val="1710080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07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Sheet1!$G$22</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Sheet1!$F$23:$F$28</c:f>
              <c:strCache>
                <c:ptCount val="5"/>
                <c:pt idx="0">
                  <c:v>Headphones</c:v>
                </c:pt>
                <c:pt idx="1">
                  <c:v>Laptop</c:v>
                </c:pt>
                <c:pt idx="2">
                  <c:v>Mobile</c:v>
                </c:pt>
                <c:pt idx="3">
                  <c:v>Monitor</c:v>
                </c:pt>
                <c:pt idx="4">
                  <c:v>Tablet</c:v>
                </c:pt>
              </c:strCache>
            </c:strRef>
          </c:cat>
          <c:val>
            <c:numRef>
              <c:f>Sheet1!$G$23:$G$28</c:f>
              <c:numCache>
                <c:formatCode>General</c:formatCode>
                <c:ptCount val="5"/>
                <c:pt idx="0">
                  <c:v>17</c:v>
                </c:pt>
                <c:pt idx="1">
                  <c:v>20</c:v>
                </c:pt>
                <c:pt idx="2">
                  <c:v>18</c:v>
                </c:pt>
                <c:pt idx="3">
                  <c:v>19</c:v>
                </c:pt>
                <c:pt idx="4">
                  <c:v>10</c:v>
                </c:pt>
              </c:numCache>
            </c:numRef>
          </c:val>
          <c:extLst>
            <c:ext xmlns:c16="http://schemas.microsoft.com/office/drawing/2014/chart" uri="{C3380CC4-5D6E-409C-BE32-E72D297353CC}">
              <c16:uniqueId val="{00000000-A6B7-40B4-87A0-3A03FFAB37D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10083039"/>
        <c:axId val="1710069599"/>
      </c:areaChart>
      <c:catAx>
        <c:axId val="17100830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10069599"/>
        <c:crosses val="autoZero"/>
        <c:auto val="1"/>
        <c:lblAlgn val="ctr"/>
        <c:lblOffset val="100"/>
        <c:noMultiLvlLbl val="0"/>
      </c:catAx>
      <c:valAx>
        <c:axId val="171006959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100830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16322959630049"/>
          <c:y val="0.24747401026568808"/>
          <c:w val="0.44136576677915262"/>
          <c:h val="0.65157617373546317"/>
        </c:manualLayout>
      </c:layout>
      <c:barChart>
        <c:barDir val="bar"/>
        <c:grouping val="clustered"/>
        <c:varyColors val="0"/>
        <c:ser>
          <c:idx val="0"/>
          <c:order val="0"/>
          <c:tx>
            <c:strRef>
              <c:f>Sheet1!$D$51</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Sheet1!$C$52:$C$57</c:f>
              <c:strCache>
                <c:ptCount val="5"/>
                <c:pt idx="0">
                  <c:v>1</c:v>
                </c:pt>
                <c:pt idx="1">
                  <c:v>2</c:v>
                </c:pt>
                <c:pt idx="2">
                  <c:v>3</c:v>
                </c:pt>
                <c:pt idx="3">
                  <c:v>4</c:v>
                </c:pt>
                <c:pt idx="4">
                  <c:v>5</c:v>
                </c:pt>
              </c:strCache>
            </c:strRef>
          </c:cat>
          <c:val>
            <c:numRef>
              <c:f>Sheet1!$D$52:$D$57</c:f>
              <c:numCache>
                <c:formatCode>General</c:formatCode>
                <c:ptCount val="5"/>
                <c:pt idx="0">
                  <c:v>680324</c:v>
                </c:pt>
                <c:pt idx="1">
                  <c:v>1202208</c:v>
                </c:pt>
                <c:pt idx="2">
                  <c:v>2792829</c:v>
                </c:pt>
                <c:pt idx="3">
                  <c:v>1880652</c:v>
                </c:pt>
                <c:pt idx="4">
                  <c:v>2680185</c:v>
                </c:pt>
              </c:numCache>
            </c:numRef>
          </c:val>
          <c:extLst>
            <c:ext xmlns:c16="http://schemas.microsoft.com/office/drawing/2014/chart" uri="{C3380CC4-5D6E-409C-BE32-E72D297353CC}">
              <c16:uniqueId val="{00000000-6484-4065-8F27-3A8E00D7C1C5}"/>
            </c:ext>
          </c:extLst>
        </c:ser>
        <c:dLbls>
          <c:showLegendKey val="0"/>
          <c:showVal val="0"/>
          <c:showCatName val="0"/>
          <c:showSerName val="0"/>
          <c:showPercent val="0"/>
          <c:showBubbleSize val="0"/>
        </c:dLbls>
        <c:gapWidth val="227"/>
        <c:overlap val="-48"/>
        <c:axId val="1540853983"/>
        <c:axId val="1540839103"/>
      </c:barChart>
      <c:catAx>
        <c:axId val="154085398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839103"/>
        <c:crosses val="autoZero"/>
        <c:auto val="1"/>
        <c:lblAlgn val="ctr"/>
        <c:lblOffset val="100"/>
        <c:noMultiLvlLbl val="0"/>
      </c:catAx>
      <c:valAx>
        <c:axId val="154083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85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(2).xlsx]Sheet1!PivotTable7</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Sheet1!$D$68:$D$69</c:f>
              <c:strCache>
                <c:ptCount val="1"/>
                <c:pt idx="0">
                  <c:v>East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Sheet1!$C$70</c:f>
              <c:strCache>
                <c:ptCount val="1"/>
                <c:pt idx="0">
                  <c:v>Total</c:v>
                </c:pt>
              </c:strCache>
            </c:strRef>
          </c:cat>
          <c:val>
            <c:numRef>
              <c:f>Sheet1!$D$70</c:f>
              <c:numCache>
                <c:formatCode>General</c:formatCode>
                <c:ptCount val="1"/>
                <c:pt idx="0">
                  <c:v>1489255</c:v>
                </c:pt>
              </c:numCache>
            </c:numRef>
          </c:val>
          <c:extLst>
            <c:ext xmlns:c16="http://schemas.microsoft.com/office/drawing/2014/chart" uri="{C3380CC4-5D6E-409C-BE32-E72D297353CC}">
              <c16:uniqueId val="{00000000-69B7-4E82-B8BF-7BE9D5B23EC5}"/>
            </c:ext>
          </c:extLst>
        </c:ser>
        <c:ser>
          <c:idx val="1"/>
          <c:order val="1"/>
          <c:tx>
            <c:strRef>
              <c:f>Sheet1!$E$68:$E$69</c:f>
              <c:strCache>
                <c:ptCount val="1"/>
                <c:pt idx="0">
                  <c:v>North</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Sheet1!$C$70</c:f>
              <c:strCache>
                <c:ptCount val="1"/>
                <c:pt idx="0">
                  <c:v>Total</c:v>
                </c:pt>
              </c:strCache>
            </c:strRef>
          </c:cat>
          <c:val>
            <c:numRef>
              <c:f>Sheet1!$E$70</c:f>
              <c:numCache>
                <c:formatCode>General</c:formatCode>
                <c:ptCount val="1"/>
                <c:pt idx="0">
                  <c:v>1935000</c:v>
                </c:pt>
              </c:numCache>
            </c:numRef>
          </c:val>
          <c:extLst>
            <c:ext xmlns:c16="http://schemas.microsoft.com/office/drawing/2014/chart" uri="{C3380CC4-5D6E-409C-BE32-E72D297353CC}">
              <c16:uniqueId val="{00000001-69B7-4E82-B8BF-7BE9D5B23EC5}"/>
            </c:ext>
          </c:extLst>
        </c:ser>
        <c:ser>
          <c:idx val="2"/>
          <c:order val="2"/>
          <c:tx>
            <c:strRef>
              <c:f>Sheet1!$F$68:$F$69</c:f>
              <c:strCache>
                <c:ptCount val="1"/>
                <c:pt idx="0">
                  <c:v>South</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Sheet1!$C$70</c:f>
              <c:strCache>
                <c:ptCount val="1"/>
                <c:pt idx="0">
                  <c:v>Total</c:v>
                </c:pt>
              </c:strCache>
            </c:strRef>
          </c:cat>
          <c:val>
            <c:numRef>
              <c:f>Sheet1!$F$70</c:f>
              <c:numCache>
                <c:formatCode>General</c:formatCode>
                <c:ptCount val="1"/>
                <c:pt idx="0">
                  <c:v>3235667</c:v>
                </c:pt>
              </c:numCache>
            </c:numRef>
          </c:val>
          <c:extLst>
            <c:ext xmlns:c16="http://schemas.microsoft.com/office/drawing/2014/chart" uri="{C3380CC4-5D6E-409C-BE32-E72D297353CC}">
              <c16:uniqueId val="{00000002-69B7-4E82-B8BF-7BE9D5B23EC5}"/>
            </c:ext>
          </c:extLst>
        </c:ser>
        <c:ser>
          <c:idx val="3"/>
          <c:order val="3"/>
          <c:tx>
            <c:strRef>
              <c:f>Sheet1!$G$68:$G$69</c:f>
              <c:strCache>
                <c:ptCount val="1"/>
                <c:pt idx="0">
                  <c:v>West</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Sheet1!$C$70</c:f>
              <c:strCache>
                <c:ptCount val="1"/>
                <c:pt idx="0">
                  <c:v>Total</c:v>
                </c:pt>
              </c:strCache>
            </c:strRef>
          </c:cat>
          <c:val>
            <c:numRef>
              <c:f>Sheet1!$G$70</c:f>
              <c:numCache>
                <c:formatCode>General</c:formatCode>
                <c:ptCount val="1"/>
                <c:pt idx="0">
                  <c:v>2576276</c:v>
                </c:pt>
              </c:numCache>
            </c:numRef>
          </c:val>
          <c:extLst>
            <c:ext xmlns:c16="http://schemas.microsoft.com/office/drawing/2014/chart" uri="{C3380CC4-5D6E-409C-BE32-E72D297353CC}">
              <c16:uniqueId val="{00000003-69B7-4E82-B8BF-7BE9D5B23EC5}"/>
            </c:ext>
          </c:extLst>
        </c:ser>
        <c:dLbls>
          <c:showLegendKey val="0"/>
          <c:showVal val="0"/>
          <c:showCatName val="0"/>
          <c:showSerName val="0"/>
          <c:showPercent val="0"/>
          <c:showBubbleSize val="0"/>
        </c:dLbls>
        <c:gapWidth val="315"/>
        <c:overlap val="-40"/>
        <c:axId val="1540856863"/>
        <c:axId val="1540858303"/>
      </c:barChart>
      <c:catAx>
        <c:axId val="15408568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0858303"/>
        <c:crosses val="autoZero"/>
        <c:auto val="1"/>
        <c:lblAlgn val="ctr"/>
        <c:lblOffset val="100"/>
        <c:noMultiLvlLbl val="0"/>
      </c:catAx>
      <c:valAx>
        <c:axId val="154085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085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Sheet1!$D$86</c:f>
              <c:strCache>
                <c:ptCount val="1"/>
                <c:pt idx="0">
                  <c:v>Sum of Quantity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Sheet1!$C$87:$C$90</c:f>
              <c:strCache>
                <c:ptCount val="3"/>
                <c:pt idx="0">
                  <c:v>Laptop</c:v>
                </c:pt>
                <c:pt idx="1">
                  <c:v>Mobile</c:v>
                </c:pt>
                <c:pt idx="2">
                  <c:v>Tablet</c:v>
                </c:pt>
              </c:strCache>
            </c:strRef>
          </c:cat>
          <c:val>
            <c:numRef>
              <c:f>Sheet1!$D$87:$D$90</c:f>
              <c:numCache>
                <c:formatCode>General</c:formatCode>
                <c:ptCount val="3"/>
                <c:pt idx="0">
                  <c:v>85</c:v>
                </c:pt>
                <c:pt idx="1">
                  <c:v>66</c:v>
                </c:pt>
                <c:pt idx="2">
                  <c:v>65</c:v>
                </c:pt>
              </c:numCache>
            </c:numRef>
          </c:val>
          <c:extLst>
            <c:ext xmlns:c16="http://schemas.microsoft.com/office/drawing/2014/chart" uri="{C3380CC4-5D6E-409C-BE32-E72D297353CC}">
              <c16:uniqueId val="{00000000-5BC2-4BA1-BA88-069EF496A818}"/>
            </c:ext>
          </c:extLst>
        </c:ser>
        <c:ser>
          <c:idx val="1"/>
          <c:order val="1"/>
          <c:tx>
            <c:strRef>
              <c:f>Sheet1!$E$86</c:f>
              <c:strCache>
                <c:ptCount val="1"/>
                <c:pt idx="0">
                  <c:v>Sum of TotalSales</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Sheet1!$C$87:$C$90</c:f>
              <c:strCache>
                <c:ptCount val="3"/>
                <c:pt idx="0">
                  <c:v>Laptop</c:v>
                </c:pt>
                <c:pt idx="1">
                  <c:v>Mobile</c:v>
                </c:pt>
                <c:pt idx="2">
                  <c:v>Tablet</c:v>
                </c:pt>
              </c:strCache>
            </c:strRef>
          </c:cat>
          <c:val>
            <c:numRef>
              <c:f>Sheet1!$E$87:$E$90</c:f>
              <c:numCache>
                <c:formatCode>General</c:formatCode>
                <c:ptCount val="3"/>
                <c:pt idx="0">
                  <c:v>2204191</c:v>
                </c:pt>
                <c:pt idx="1">
                  <c:v>1939196</c:v>
                </c:pt>
                <c:pt idx="2">
                  <c:v>2015238</c:v>
                </c:pt>
              </c:numCache>
            </c:numRef>
          </c:val>
          <c:extLst>
            <c:ext xmlns:c16="http://schemas.microsoft.com/office/drawing/2014/chart" uri="{C3380CC4-5D6E-409C-BE32-E72D297353CC}">
              <c16:uniqueId val="{00000001-5BC2-4BA1-BA88-069EF496A8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 (2).xlsx]Sheet1!PivotTable5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Sheet1!$B$40:$B$45</c:f>
              <c:strCache>
                <c:ptCount val="5"/>
                <c:pt idx="0">
                  <c:v>1</c:v>
                </c:pt>
                <c:pt idx="1">
                  <c:v>2</c:v>
                </c:pt>
                <c:pt idx="2">
                  <c:v>3</c:v>
                </c:pt>
                <c:pt idx="3">
                  <c:v>4</c:v>
                </c:pt>
                <c:pt idx="4">
                  <c:v>5</c:v>
                </c:pt>
              </c:strCache>
            </c:strRef>
          </c:cat>
          <c:val>
            <c:numRef>
              <c:f>Sheet1!$C$40:$C$45</c:f>
              <c:numCache>
                <c:formatCode>General</c:formatCode>
                <c:ptCount val="5"/>
                <c:pt idx="0">
                  <c:v>680324</c:v>
                </c:pt>
                <c:pt idx="1">
                  <c:v>1202208</c:v>
                </c:pt>
                <c:pt idx="2">
                  <c:v>2792829</c:v>
                </c:pt>
                <c:pt idx="3">
                  <c:v>1880652</c:v>
                </c:pt>
                <c:pt idx="4">
                  <c:v>2680185</c:v>
                </c:pt>
              </c:numCache>
            </c:numRef>
          </c:val>
          <c:extLst>
            <c:ext xmlns:c16="http://schemas.microsoft.com/office/drawing/2014/chart" uri="{C3380CC4-5D6E-409C-BE32-E72D297353CC}">
              <c16:uniqueId val="{00000000-8513-48A1-B657-FC0AE02AFE69}"/>
            </c:ext>
          </c:extLst>
        </c:ser>
        <c:dLbls>
          <c:dLblPos val="outEnd"/>
          <c:showLegendKey val="0"/>
          <c:showVal val="1"/>
          <c:showCatName val="0"/>
          <c:showSerName val="0"/>
          <c:showPercent val="0"/>
          <c:showBubbleSize val="0"/>
        </c:dLbls>
        <c:gapWidth val="100"/>
        <c:overlap val="-24"/>
        <c:axId val="1540808383"/>
        <c:axId val="1540809343"/>
      </c:barChart>
      <c:catAx>
        <c:axId val="1540808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809343"/>
        <c:crosses val="autoZero"/>
        <c:auto val="1"/>
        <c:lblAlgn val="ctr"/>
        <c:lblOffset val="100"/>
        <c:noMultiLvlLbl val="0"/>
      </c:catAx>
      <c:valAx>
        <c:axId val="15408093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080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91440</xdr:colOff>
      <xdr:row>29</xdr:row>
      <xdr:rowOff>106680</xdr:rowOff>
    </xdr:from>
    <xdr:to>
      <xdr:col>7</xdr:col>
      <xdr:colOff>38100</xdr:colOff>
      <xdr:row>43</xdr:row>
      <xdr:rowOff>13335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DC858D5-8832-B6BC-E2A8-D3C755A874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31080" y="5410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358140</xdr:colOff>
      <xdr:row>1</xdr:row>
      <xdr:rowOff>38100</xdr:rowOff>
    </xdr:from>
    <xdr:to>
      <xdr:col>5</xdr:col>
      <xdr:colOff>601980</xdr:colOff>
      <xdr:row>13</xdr:row>
      <xdr:rowOff>106680</xdr:rowOff>
    </xdr:to>
    <xdr:graphicFrame macro="">
      <xdr:nvGraphicFramePr>
        <xdr:cNvPr id="3" name="Chart 2">
          <a:extLst>
            <a:ext uri="{FF2B5EF4-FFF2-40B4-BE49-F238E27FC236}">
              <a16:creationId xmlns:a16="http://schemas.microsoft.com/office/drawing/2014/main" id="{4B26C2C2-04A5-2414-7919-BA582F2E8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25</xdr:row>
      <xdr:rowOff>152400</xdr:rowOff>
    </xdr:from>
    <xdr:to>
      <xdr:col>3</xdr:col>
      <xdr:colOff>129540</xdr:colOff>
      <xdr:row>36</xdr:row>
      <xdr:rowOff>152400</xdr:rowOff>
    </xdr:to>
    <xdr:graphicFrame macro="">
      <xdr:nvGraphicFramePr>
        <xdr:cNvPr id="4" name="Chart 3">
          <a:extLst>
            <a:ext uri="{FF2B5EF4-FFF2-40B4-BE49-F238E27FC236}">
              <a16:creationId xmlns:a16="http://schemas.microsoft.com/office/drawing/2014/main" id="{12795964-FE44-43CE-53E2-72065CCB1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15240</xdr:colOff>
      <xdr:row>10</xdr:row>
      <xdr:rowOff>106680</xdr:rowOff>
    </xdr:from>
    <xdr:to>
      <xdr:col>36</xdr:col>
      <xdr:colOff>129540</xdr:colOff>
      <xdr:row>30</xdr:row>
      <xdr:rowOff>0</xdr:rowOff>
    </xdr:to>
    <xdr:graphicFrame macro="">
      <xdr:nvGraphicFramePr>
        <xdr:cNvPr id="5" name="Chart 4">
          <a:extLst>
            <a:ext uri="{FF2B5EF4-FFF2-40B4-BE49-F238E27FC236}">
              <a16:creationId xmlns:a16="http://schemas.microsoft.com/office/drawing/2014/main" id="{9091EAA3-5287-CB6E-004E-12CDC0C28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167640</xdr:colOff>
      <xdr:row>20</xdr:row>
      <xdr:rowOff>144780</xdr:rowOff>
    </xdr:from>
    <xdr:to>
      <xdr:col>11</xdr:col>
      <xdr:colOff>45720</xdr:colOff>
      <xdr:row>33</xdr:row>
      <xdr:rowOff>91440</xdr:rowOff>
    </xdr:to>
    <xdr:graphicFrame macro="">
      <xdr:nvGraphicFramePr>
        <xdr:cNvPr id="7" name="Chart 6">
          <a:extLst>
            <a:ext uri="{FF2B5EF4-FFF2-40B4-BE49-F238E27FC236}">
              <a16:creationId xmlns:a16="http://schemas.microsoft.com/office/drawing/2014/main" id="{F8157625-9570-0F1D-FECC-E4A9EE4D9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289560</xdr:colOff>
      <xdr:row>46</xdr:row>
      <xdr:rowOff>45720</xdr:rowOff>
    </xdr:from>
    <xdr:to>
      <xdr:col>8</xdr:col>
      <xdr:colOff>320040</xdr:colOff>
      <xdr:row>62</xdr:row>
      <xdr:rowOff>38100</xdr:rowOff>
    </xdr:to>
    <xdr:graphicFrame macro="">
      <xdr:nvGraphicFramePr>
        <xdr:cNvPr id="8" name="Chart 7">
          <a:extLst>
            <a:ext uri="{FF2B5EF4-FFF2-40B4-BE49-F238E27FC236}">
              <a16:creationId xmlns:a16="http://schemas.microsoft.com/office/drawing/2014/main" id="{1729F2C8-9F8A-3F74-4407-4CE3CDBC5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754380</xdr:colOff>
      <xdr:row>71</xdr:row>
      <xdr:rowOff>91440</xdr:rowOff>
    </xdr:from>
    <xdr:to>
      <xdr:col>7</xdr:col>
      <xdr:colOff>655320</xdr:colOff>
      <xdr:row>83</xdr:row>
      <xdr:rowOff>68580</xdr:rowOff>
    </xdr:to>
    <xdr:graphicFrame macro="">
      <xdr:nvGraphicFramePr>
        <xdr:cNvPr id="9" name="Chart 8">
          <a:extLst>
            <a:ext uri="{FF2B5EF4-FFF2-40B4-BE49-F238E27FC236}">
              <a16:creationId xmlns:a16="http://schemas.microsoft.com/office/drawing/2014/main" id="{EFD7BCA0-E862-A76F-650D-E7D6ACF6A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266700</xdr:colOff>
      <xdr:row>87</xdr:row>
      <xdr:rowOff>22860</xdr:rowOff>
    </xdr:from>
    <xdr:to>
      <xdr:col>10</xdr:col>
      <xdr:colOff>106680</xdr:colOff>
      <xdr:row>100</xdr:row>
      <xdr:rowOff>91440</xdr:rowOff>
    </xdr:to>
    <xdr:graphicFrame macro="">
      <xdr:nvGraphicFramePr>
        <xdr:cNvPr id="10" name="Chart 9">
          <a:extLst>
            <a:ext uri="{FF2B5EF4-FFF2-40B4-BE49-F238E27FC236}">
              <a16:creationId xmlns:a16="http://schemas.microsoft.com/office/drawing/2014/main" id="{DF262E29-8EF1-B68E-F4B0-51DDFAC187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190500</xdr:colOff>
      <xdr:row>33</xdr:row>
      <xdr:rowOff>106680</xdr:rowOff>
    </xdr:from>
    <xdr:to>
      <xdr:col>5</xdr:col>
      <xdr:colOff>236220</xdr:colOff>
      <xdr:row>47</xdr:row>
      <xdr:rowOff>121920</xdr:rowOff>
    </xdr:to>
    <xdr:graphicFrame macro="">
      <xdr:nvGraphicFramePr>
        <xdr:cNvPr id="12" name="Chart 11">
          <a:extLst>
            <a:ext uri="{FF2B5EF4-FFF2-40B4-BE49-F238E27FC236}">
              <a16:creationId xmlns:a16="http://schemas.microsoft.com/office/drawing/2014/main" id="{C0F66166-AF25-051C-AFE3-CC73468C7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vivobook" refreshedDate="46014.528791203702" createdVersion="8" refreshedVersion="8" minRefreshableVersion="3" recordCount="100" xr:uid="{02C12846-54ED-45F8-B09E-F76F94770A7C}">
  <cacheSource type="worksheet">
    <worksheetSource name="Table1"/>
  </cacheSource>
  <cacheFields count="9">
    <cacheField name="OrderID" numFmtId="0">
      <sharedItems containsSemiMixedTypes="0" containsString="0" containsNumber="1" containsInteger="1" minValue="1" maxValue="100" count="1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sharedItems>
    </cacheField>
    <cacheField name="Date" numFmtId="0">
      <sharedItems/>
    </cacheField>
    <cacheField name="Product" numFmtId="0">
      <sharedItems count="5">
        <s v="Mobile"/>
        <s v="Headphones"/>
        <s v="Monitor"/>
        <s v="Tablet"/>
        <s v="Laptop"/>
      </sharedItems>
    </cacheField>
    <cacheField name="Quantity" numFmtId="0">
      <sharedItems containsSemiMixedTypes="0" containsString="0" containsNumber="1" containsInteger="1" minValue="1" maxValue="5" count="5">
        <n v="5"/>
        <n v="3"/>
        <n v="1"/>
        <n v="4"/>
        <n v="2"/>
      </sharedItems>
    </cacheField>
    <cacheField name="UnitPrice" numFmtId="0">
      <sharedItems containsSemiMixedTypes="0" containsString="0" containsNumber="1" containsInteger="1" minValue="5450" maxValue="59676"/>
    </cacheField>
    <cacheField name="TotalSales" numFmtId="0">
      <sharedItems containsSemiMixedTypes="0" containsString="0" containsNumber="1" containsInteger="1" minValue="8282" maxValue="276590"/>
    </cacheField>
    <cacheField name="Region" numFmtId="0">
      <sharedItems count="4">
        <s v="West"/>
        <s v="North"/>
        <s v="East"/>
        <s v="South"/>
      </sharedItems>
    </cacheField>
    <cacheField name="month" numFmtId="0">
      <sharedItems/>
    </cacheField>
    <cacheField name="avg_totalsales " numFmtId="0">
      <sharedItems containsSemiMixedTypes="0" containsString="0" containsNumber="1" minValue="92361.98" maxValue="92361.98"/>
    </cacheField>
  </cacheFields>
  <extLst>
    <ext xmlns:x14="http://schemas.microsoft.com/office/spreadsheetml/2009/9/main" uri="{725AE2AE-9491-48be-B2B4-4EB974FC3084}">
      <x14:pivotCacheDefinition pivotCacheId="308633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2024-01-02"/>
    <x v="0"/>
    <x v="0"/>
    <n v="25097"/>
    <n v="125485"/>
    <x v="0"/>
    <s v="Jan"/>
    <n v="92361.98"/>
  </r>
  <r>
    <x v="1"/>
    <s v="2024-01-03"/>
    <x v="1"/>
    <x v="1"/>
    <n v="55822"/>
    <n v="167466"/>
    <x v="1"/>
    <s v="Jan"/>
    <n v="92361.98"/>
  </r>
  <r>
    <x v="2"/>
    <s v="2024-01-04"/>
    <x v="0"/>
    <x v="0"/>
    <n v="10165"/>
    <n v="50825"/>
    <x v="2"/>
    <s v="Jan"/>
    <n v="92361.98"/>
  </r>
  <r>
    <x v="3"/>
    <s v="2024-01-05"/>
    <x v="0"/>
    <x v="2"/>
    <n v="31951"/>
    <n v="31951"/>
    <x v="3"/>
    <s v="Jan"/>
    <n v="92361.98"/>
  </r>
  <r>
    <x v="4"/>
    <s v="2024-01-06"/>
    <x v="0"/>
    <x v="3"/>
    <n v="55658"/>
    <n v="222632"/>
    <x v="0"/>
    <s v="Jan"/>
    <n v="92361.98"/>
  </r>
  <r>
    <x v="5"/>
    <s v="2024-01-07"/>
    <x v="1"/>
    <x v="2"/>
    <n v="32650"/>
    <n v="32650"/>
    <x v="3"/>
    <s v="Jan"/>
    <n v="92361.98"/>
  </r>
  <r>
    <x v="6"/>
    <s v="2024-01-08"/>
    <x v="2"/>
    <x v="2"/>
    <n v="58692"/>
    <n v="58692"/>
    <x v="2"/>
    <s v="Jan"/>
    <n v="92361.98"/>
  </r>
  <r>
    <x v="7"/>
    <s v="2024-01-09"/>
    <x v="3"/>
    <x v="0"/>
    <n v="55318"/>
    <n v="276590"/>
    <x v="3"/>
    <s v="Jan"/>
    <n v="92361.98"/>
  </r>
  <r>
    <x v="8"/>
    <s v="2024-01-10"/>
    <x v="0"/>
    <x v="4"/>
    <n v="17991"/>
    <n v="35982"/>
    <x v="3"/>
    <s v="Jan"/>
    <n v="92361.98"/>
  </r>
  <r>
    <x v="9"/>
    <s v="2024-01-11"/>
    <x v="2"/>
    <x v="4"/>
    <n v="6434"/>
    <n v="12868"/>
    <x v="1"/>
    <s v="Jan"/>
    <n v="92361.98"/>
  </r>
  <r>
    <x v="10"/>
    <s v="2024-01-12"/>
    <x v="1"/>
    <x v="4"/>
    <n v="56566"/>
    <n v="113132"/>
    <x v="2"/>
    <s v="Jan"/>
    <n v="92361.98"/>
  </r>
  <r>
    <x v="11"/>
    <s v="2024-01-13"/>
    <x v="4"/>
    <x v="4"/>
    <n v="20620"/>
    <n v="41240"/>
    <x v="3"/>
    <s v="Jan"/>
    <n v="92361.98"/>
  </r>
  <r>
    <x v="12"/>
    <s v="2024-01-14"/>
    <x v="1"/>
    <x v="2"/>
    <n v="40177"/>
    <n v="40177"/>
    <x v="2"/>
    <s v="Jan"/>
    <n v="92361.98"/>
  </r>
  <r>
    <x v="13"/>
    <s v="2024-01-15"/>
    <x v="0"/>
    <x v="4"/>
    <n v="57569"/>
    <n v="115138"/>
    <x v="1"/>
    <s v="Jan"/>
    <n v="92361.98"/>
  </r>
  <r>
    <x v="14"/>
    <s v="2024-01-16"/>
    <x v="3"/>
    <x v="1"/>
    <n v="20378"/>
    <n v="61134"/>
    <x v="0"/>
    <s v="Jan"/>
    <n v="92361.98"/>
  </r>
  <r>
    <x v="15"/>
    <s v="2024-01-17"/>
    <x v="1"/>
    <x v="1"/>
    <n v="30738"/>
    <n v="92214"/>
    <x v="3"/>
    <s v="Jan"/>
    <n v="92361.98"/>
  </r>
  <r>
    <x v="16"/>
    <s v="2024-01-18"/>
    <x v="4"/>
    <x v="3"/>
    <n v="29625"/>
    <n v="118500"/>
    <x v="1"/>
    <s v="Jan"/>
    <n v="92361.98"/>
  </r>
  <r>
    <x v="17"/>
    <s v="2024-01-19"/>
    <x v="3"/>
    <x v="4"/>
    <n v="51988"/>
    <n v="103976"/>
    <x v="1"/>
    <s v="Jan"/>
    <n v="92361.98"/>
  </r>
  <r>
    <x v="18"/>
    <s v="2024-01-20"/>
    <x v="3"/>
    <x v="1"/>
    <n v="14652"/>
    <n v="43956"/>
    <x v="1"/>
    <s v="Jan"/>
    <n v="92361.98"/>
  </r>
  <r>
    <x v="19"/>
    <s v="2024-01-21"/>
    <x v="0"/>
    <x v="1"/>
    <n v="53176"/>
    <n v="159528"/>
    <x v="3"/>
    <s v="Jan"/>
    <n v="92361.98"/>
  </r>
  <r>
    <x v="20"/>
    <s v="2024-01-22"/>
    <x v="4"/>
    <x v="2"/>
    <n v="35268"/>
    <n v="35268"/>
    <x v="3"/>
    <s v="Jan"/>
    <n v="92361.98"/>
  </r>
  <r>
    <x v="21"/>
    <s v="2024-01-23"/>
    <x v="4"/>
    <x v="1"/>
    <n v="16002"/>
    <n v="48006"/>
    <x v="2"/>
    <s v="Jan"/>
    <n v="92361.98"/>
  </r>
  <r>
    <x v="22"/>
    <s v="2024-01-24"/>
    <x v="3"/>
    <x v="3"/>
    <n v="19843"/>
    <n v="79372"/>
    <x v="2"/>
    <s v="Jan"/>
    <n v="92361.98"/>
  </r>
  <r>
    <x v="23"/>
    <s v="2024-01-25"/>
    <x v="0"/>
    <x v="1"/>
    <n v="58777"/>
    <n v="176331"/>
    <x v="3"/>
    <s v="Jan"/>
    <n v="92361.98"/>
  </r>
  <r>
    <x v="24"/>
    <s v="2024-01-26"/>
    <x v="4"/>
    <x v="0"/>
    <n v="17872"/>
    <n v="89360"/>
    <x v="0"/>
    <s v="Jan"/>
    <n v="92361.98"/>
  </r>
  <r>
    <x v="25"/>
    <s v="2024-01-27"/>
    <x v="4"/>
    <x v="4"/>
    <n v="27519"/>
    <n v="55038"/>
    <x v="0"/>
    <s v="Jan"/>
    <n v="92361.98"/>
  </r>
  <r>
    <x v="26"/>
    <s v="2024-01-28"/>
    <x v="1"/>
    <x v="2"/>
    <n v="9185"/>
    <n v="9185"/>
    <x v="1"/>
    <s v="Jan"/>
    <n v="92361.98"/>
  </r>
  <r>
    <x v="27"/>
    <s v="2024-01-29"/>
    <x v="1"/>
    <x v="1"/>
    <n v="32044"/>
    <n v="96132"/>
    <x v="3"/>
    <s v="Jan"/>
    <n v="92361.98"/>
  </r>
  <r>
    <x v="28"/>
    <s v="2024-01-30"/>
    <x v="2"/>
    <x v="1"/>
    <n v="55614"/>
    <n v="166842"/>
    <x v="2"/>
    <s v="Jan"/>
    <n v="92361.98"/>
  </r>
  <r>
    <x v="29"/>
    <s v="2024-01-31"/>
    <x v="0"/>
    <x v="2"/>
    <n v="24874"/>
    <n v="24874"/>
    <x v="1"/>
    <s v="Jan"/>
    <n v="92361.98"/>
  </r>
  <r>
    <x v="30"/>
    <s v="2024-02-01"/>
    <x v="0"/>
    <x v="0"/>
    <n v="12292"/>
    <n v="61460"/>
    <x v="1"/>
    <s v="Feb"/>
    <n v="92361.98"/>
  </r>
  <r>
    <x v="31"/>
    <s v="2024-02-02"/>
    <x v="4"/>
    <x v="3"/>
    <n v="39672"/>
    <n v="158688"/>
    <x v="0"/>
    <s v="Feb"/>
    <n v="92361.98"/>
  </r>
  <r>
    <x v="32"/>
    <s v="2024-02-03"/>
    <x v="0"/>
    <x v="3"/>
    <n v="5450"/>
    <n v="21800"/>
    <x v="1"/>
    <s v="Feb"/>
    <n v="92361.98"/>
  </r>
  <r>
    <x v="33"/>
    <s v="2024-02-04"/>
    <x v="4"/>
    <x v="2"/>
    <n v="57041"/>
    <n v="57041"/>
    <x v="0"/>
    <s v="Feb"/>
    <n v="92361.98"/>
  </r>
  <r>
    <x v="34"/>
    <s v="2024-02-05"/>
    <x v="1"/>
    <x v="3"/>
    <n v="53908"/>
    <n v="215632"/>
    <x v="2"/>
    <s v="Feb"/>
    <n v="92361.98"/>
  </r>
  <r>
    <x v="35"/>
    <s v="2024-02-06"/>
    <x v="3"/>
    <x v="1"/>
    <n v="15697"/>
    <n v="47091"/>
    <x v="0"/>
    <s v="Feb"/>
    <n v="92361.98"/>
  </r>
  <r>
    <x v="36"/>
    <s v="2024-02-07"/>
    <x v="3"/>
    <x v="2"/>
    <n v="33172"/>
    <n v="33172"/>
    <x v="2"/>
    <s v="Feb"/>
    <n v="92361.98"/>
  </r>
  <r>
    <x v="37"/>
    <s v="2024-02-08"/>
    <x v="1"/>
    <x v="2"/>
    <n v="20593"/>
    <n v="20593"/>
    <x v="3"/>
    <s v="Feb"/>
    <n v="92361.98"/>
  </r>
  <r>
    <x v="38"/>
    <s v="2024-02-09"/>
    <x v="4"/>
    <x v="0"/>
    <n v="24887"/>
    <n v="124435"/>
    <x v="1"/>
    <s v="Feb"/>
    <n v="92361.98"/>
  </r>
  <r>
    <x v="39"/>
    <s v="2024-02-10"/>
    <x v="2"/>
    <x v="4"/>
    <n v="21882"/>
    <n v="43764"/>
    <x v="2"/>
    <s v="Feb"/>
    <n v="92361.98"/>
  </r>
  <r>
    <x v="40"/>
    <s v="2024-02-11"/>
    <x v="1"/>
    <x v="3"/>
    <n v="58603"/>
    <n v="234412"/>
    <x v="0"/>
    <s v="Feb"/>
    <n v="92361.98"/>
  </r>
  <r>
    <x v="41"/>
    <s v="2024-02-12"/>
    <x v="0"/>
    <x v="3"/>
    <n v="26179"/>
    <n v="104716"/>
    <x v="1"/>
    <s v="Feb"/>
    <n v="92361.98"/>
  </r>
  <r>
    <x v="42"/>
    <s v="2024-02-13"/>
    <x v="4"/>
    <x v="4"/>
    <n v="15370"/>
    <n v="30740"/>
    <x v="1"/>
    <s v="Feb"/>
    <n v="92361.98"/>
  </r>
  <r>
    <x v="43"/>
    <s v="2024-02-14"/>
    <x v="2"/>
    <x v="3"/>
    <n v="54083"/>
    <n v="216332"/>
    <x v="3"/>
    <s v="Feb"/>
    <n v="92361.98"/>
  </r>
  <r>
    <x v="44"/>
    <s v="2024-02-15"/>
    <x v="3"/>
    <x v="3"/>
    <n v="11676"/>
    <n v="46704"/>
    <x v="0"/>
    <s v="Feb"/>
    <n v="92361.98"/>
  </r>
  <r>
    <x v="45"/>
    <s v="2024-02-16"/>
    <x v="3"/>
    <x v="4"/>
    <n v="54390"/>
    <n v="108780"/>
    <x v="0"/>
    <s v="Feb"/>
    <n v="92361.98"/>
  </r>
  <r>
    <x v="46"/>
    <s v="2024-02-17"/>
    <x v="4"/>
    <x v="3"/>
    <n v="22209"/>
    <n v="88836"/>
    <x v="2"/>
    <s v="Feb"/>
    <n v="92361.98"/>
  </r>
  <r>
    <x v="47"/>
    <s v="2024-02-18"/>
    <x v="4"/>
    <x v="1"/>
    <n v="6361"/>
    <n v="19083"/>
    <x v="1"/>
    <s v="Feb"/>
    <n v="92361.98"/>
  </r>
  <r>
    <x v="48"/>
    <s v="2024-02-19"/>
    <x v="4"/>
    <x v="3"/>
    <n v="17700"/>
    <n v="70800"/>
    <x v="0"/>
    <s v="Feb"/>
    <n v="92361.98"/>
  </r>
  <r>
    <x v="49"/>
    <s v="2024-02-20"/>
    <x v="4"/>
    <x v="3"/>
    <n v="13814"/>
    <n v="55256"/>
    <x v="0"/>
    <s v="Feb"/>
    <n v="92361.98"/>
  </r>
  <r>
    <x v="50"/>
    <s v="2024-02-21"/>
    <x v="3"/>
    <x v="3"/>
    <n v="28488"/>
    <n v="113952"/>
    <x v="0"/>
    <s v="Feb"/>
    <n v="92361.98"/>
  </r>
  <r>
    <x v="51"/>
    <s v="2024-02-22"/>
    <x v="4"/>
    <x v="1"/>
    <n v="55715"/>
    <n v="167145"/>
    <x v="1"/>
    <s v="Feb"/>
    <n v="92361.98"/>
  </r>
  <r>
    <x v="52"/>
    <s v="2024-02-23"/>
    <x v="1"/>
    <x v="4"/>
    <n v="27835"/>
    <n v="55670"/>
    <x v="1"/>
    <s v="Feb"/>
    <n v="92361.98"/>
  </r>
  <r>
    <x v="53"/>
    <s v="2024-02-24"/>
    <x v="4"/>
    <x v="4"/>
    <n v="49980"/>
    <n v="99960"/>
    <x v="3"/>
    <s v="Feb"/>
    <n v="92361.98"/>
  </r>
  <r>
    <x v="54"/>
    <s v="2024-02-25"/>
    <x v="1"/>
    <x v="1"/>
    <n v="38824"/>
    <n v="116472"/>
    <x v="1"/>
    <s v="Feb"/>
    <n v="92361.98"/>
  </r>
  <r>
    <x v="55"/>
    <s v="2024-02-26"/>
    <x v="4"/>
    <x v="2"/>
    <n v="59676"/>
    <n v="59676"/>
    <x v="2"/>
    <s v="Feb"/>
    <n v="92361.98"/>
  </r>
  <r>
    <x v="56"/>
    <s v="2024-02-27"/>
    <x v="3"/>
    <x v="4"/>
    <n v="50461"/>
    <n v="100922"/>
    <x v="3"/>
    <s v="Feb"/>
    <n v="92361.98"/>
  </r>
  <r>
    <x v="57"/>
    <s v="2024-02-28"/>
    <x v="0"/>
    <x v="4"/>
    <n v="25624"/>
    <n v="51248"/>
    <x v="3"/>
    <s v="Feb"/>
    <n v="92361.98"/>
  </r>
  <r>
    <x v="58"/>
    <s v="2024-02-29"/>
    <x v="0"/>
    <x v="0"/>
    <n v="50019"/>
    <n v="250095"/>
    <x v="3"/>
    <s v="Feb"/>
    <n v="92361.98"/>
  </r>
  <r>
    <x v="59"/>
    <s v="2024-03-01"/>
    <x v="0"/>
    <x v="0"/>
    <n v="7675"/>
    <n v="38375"/>
    <x v="2"/>
    <s v="Mar"/>
    <n v="92361.98"/>
  </r>
  <r>
    <x v="60"/>
    <s v="2024-03-02"/>
    <x v="4"/>
    <x v="1"/>
    <n v="31514"/>
    <n v="94542"/>
    <x v="2"/>
    <s v="Mar"/>
    <n v="92361.98"/>
  </r>
  <r>
    <x v="61"/>
    <s v="2024-03-03"/>
    <x v="2"/>
    <x v="0"/>
    <n v="54058"/>
    <n v="270290"/>
    <x v="3"/>
    <s v="Mar"/>
    <n v="92361.98"/>
  </r>
  <r>
    <x v="62"/>
    <s v="2024-03-04"/>
    <x v="0"/>
    <x v="1"/>
    <n v="54235"/>
    <n v="162705"/>
    <x v="2"/>
    <s v="Mar"/>
    <n v="92361.98"/>
  </r>
  <r>
    <x v="63"/>
    <s v="2024-03-05"/>
    <x v="4"/>
    <x v="0"/>
    <n v="6166"/>
    <n v="30830"/>
    <x v="3"/>
    <s v="Mar"/>
    <n v="92361.98"/>
  </r>
  <r>
    <x v="64"/>
    <s v="2024-03-06"/>
    <x v="4"/>
    <x v="3"/>
    <n v="25936"/>
    <n v="103744"/>
    <x v="1"/>
    <s v="Mar"/>
    <n v="92361.98"/>
  </r>
  <r>
    <x v="65"/>
    <s v="2024-03-07"/>
    <x v="4"/>
    <x v="3"/>
    <n v="7319"/>
    <n v="29276"/>
    <x v="2"/>
    <s v="Mar"/>
    <n v="92361.98"/>
  </r>
  <r>
    <x v="66"/>
    <s v="2024-03-08"/>
    <x v="1"/>
    <x v="1"/>
    <n v="17189"/>
    <n v="51567"/>
    <x v="3"/>
    <s v="Mar"/>
    <n v="92361.98"/>
  </r>
  <r>
    <x v="67"/>
    <s v="2024-03-09"/>
    <x v="1"/>
    <x v="2"/>
    <n v="39711"/>
    <n v="39711"/>
    <x v="0"/>
    <s v="Mar"/>
    <n v="92361.98"/>
  </r>
  <r>
    <x v="68"/>
    <s v="2024-03-10"/>
    <x v="3"/>
    <x v="0"/>
    <n v="7308"/>
    <n v="36540"/>
    <x v="1"/>
    <s v="Mar"/>
    <n v="92361.98"/>
  </r>
  <r>
    <x v="69"/>
    <s v="2024-03-11"/>
    <x v="2"/>
    <x v="0"/>
    <n v="27338"/>
    <n v="136690"/>
    <x v="3"/>
    <s v="Mar"/>
    <n v="92361.98"/>
  </r>
  <r>
    <x v="70"/>
    <s v="2024-03-12"/>
    <x v="4"/>
    <x v="1"/>
    <n v="25821"/>
    <n v="77463"/>
    <x v="3"/>
    <s v="Mar"/>
    <n v="92361.98"/>
  </r>
  <r>
    <x v="71"/>
    <s v="2024-03-13"/>
    <x v="0"/>
    <x v="2"/>
    <n v="59464"/>
    <n v="59464"/>
    <x v="2"/>
    <s v="Mar"/>
    <n v="92361.98"/>
  </r>
  <r>
    <x v="72"/>
    <s v="2024-03-14"/>
    <x v="3"/>
    <x v="1"/>
    <n v="38426"/>
    <n v="115278"/>
    <x v="3"/>
    <s v="Mar"/>
    <n v="92361.98"/>
  </r>
  <r>
    <x v="73"/>
    <s v="2024-03-15"/>
    <x v="3"/>
    <x v="0"/>
    <n v="39727"/>
    <n v="198635"/>
    <x v="1"/>
    <s v="Mar"/>
    <n v="92361.98"/>
  </r>
  <r>
    <x v="74"/>
    <s v="2024-03-16"/>
    <x v="2"/>
    <x v="2"/>
    <n v="13900"/>
    <n v="13900"/>
    <x v="1"/>
    <s v="Mar"/>
    <n v="92361.98"/>
  </r>
  <r>
    <x v="75"/>
    <s v="2024-03-17"/>
    <x v="4"/>
    <x v="1"/>
    <n v="14729"/>
    <n v="44187"/>
    <x v="0"/>
    <s v="Mar"/>
    <n v="92361.98"/>
  </r>
  <r>
    <x v="76"/>
    <s v="2024-03-18"/>
    <x v="1"/>
    <x v="0"/>
    <n v="37569"/>
    <n v="187845"/>
    <x v="0"/>
    <s v="Mar"/>
    <n v="92361.98"/>
  </r>
  <r>
    <x v="77"/>
    <s v="2024-03-19"/>
    <x v="3"/>
    <x v="1"/>
    <n v="58032"/>
    <n v="174096"/>
    <x v="0"/>
    <s v="Mar"/>
    <n v="92361.98"/>
  </r>
  <r>
    <x v="78"/>
    <s v="2024-03-20"/>
    <x v="4"/>
    <x v="1"/>
    <n v="41792"/>
    <n v="125376"/>
    <x v="3"/>
    <s v="Mar"/>
    <n v="92361.98"/>
  </r>
  <r>
    <x v="79"/>
    <s v="2024-03-21"/>
    <x v="4"/>
    <x v="2"/>
    <n v="21333"/>
    <n v="21333"/>
    <x v="3"/>
    <s v="Mar"/>
    <n v="92361.98"/>
  </r>
  <r>
    <x v="80"/>
    <s v="2024-03-22"/>
    <x v="0"/>
    <x v="4"/>
    <n v="42599"/>
    <n v="85198"/>
    <x v="3"/>
    <s v="Mar"/>
    <n v="92361.98"/>
  </r>
  <r>
    <x v="81"/>
    <s v="2024-03-23"/>
    <x v="2"/>
    <x v="0"/>
    <n v="36695"/>
    <n v="183475"/>
    <x v="0"/>
    <s v="Mar"/>
    <n v="92361.98"/>
  </r>
  <r>
    <x v="82"/>
    <s v="2024-03-24"/>
    <x v="0"/>
    <x v="1"/>
    <n v="8029"/>
    <n v="24087"/>
    <x v="1"/>
    <s v="Mar"/>
    <n v="92361.98"/>
  </r>
  <r>
    <x v="83"/>
    <s v="2024-03-25"/>
    <x v="3"/>
    <x v="1"/>
    <n v="32305"/>
    <n v="96915"/>
    <x v="0"/>
    <s v="Mar"/>
    <n v="92361.98"/>
  </r>
  <r>
    <x v="84"/>
    <s v="2024-03-26"/>
    <x v="1"/>
    <x v="4"/>
    <n v="49140"/>
    <n v="98280"/>
    <x v="3"/>
    <s v="Mar"/>
    <n v="92361.98"/>
  </r>
  <r>
    <x v="85"/>
    <s v="2024-03-27"/>
    <x v="2"/>
    <x v="2"/>
    <n v="22349"/>
    <n v="22349"/>
    <x v="0"/>
    <s v="Mar"/>
    <n v="92361.98"/>
  </r>
  <r>
    <x v="86"/>
    <s v="2024-03-28"/>
    <x v="2"/>
    <x v="0"/>
    <n v="42285"/>
    <n v="211425"/>
    <x v="3"/>
    <s v="Mar"/>
    <n v="92361.98"/>
  </r>
  <r>
    <x v="87"/>
    <s v="2024-03-29"/>
    <x v="0"/>
    <x v="0"/>
    <n v="25804"/>
    <n v="129020"/>
    <x v="1"/>
    <s v="Mar"/>
    <n v="92361.98"/>
  </r>
  <r>
    <x v="88"/>
    <s v="2024-03-30"/>
    <x v="4"/>
    <x v="0"/>
    <n v="32486"/>
    <n v="162430"/>
    <x v="0"/>
    <s v="Mar"/>
    <n v="92361.98"/>
  </r>
  <r>
    <x v="89"/>
    <s v="2024-03-31"/>
    <x v="3"/>
    <x v="2"/>
    <n v="26062"/>
    <n v="26062"/>
    <x v="2"/>
    <s v="Mar"/>
    <n v="92361.98"/>
  </r>
  <r>
    <x v="90"/>
    <s v="2024-04-01"/>
    <x v="1"/>
    <x v="2"/>
    <n v="50161"/>
    <n v="50161"/>
    <x v="3"/>
    <s v="Apr"/>
    <n v="92361.98"/>
  </r>
  <r>
    <x v="91"/>
    <s v="2024-04-02"/>
    <x v="4"/>
    <x v="2"/>
    <n v="20573"/>
    <n v="20573"/>
    <x v="0"/>
    <s v="Apr"/>
    <n v="92361.98"/>
  </r>
  <r>
    <x v="92"/>
    <s v="2024-04-03"/>
    <x v="3"/>
    <x v="1"/>
    <n v="24141"/>
    <n v="72423"/>
    <x v="2"/>
    <s v="Apr"/>
    <n v="92361.98"/>
  </r>
  <r>
    <x v="93"/>
    <s v="2024-04-04"/>
    <x v="3"/>
    <x v="1"/>
    <n v="49350"/>
    <n v="148050"/>
    <x v="0"/>
    <s v="Apr"/>
    <n v="92361.98"/>
  </r>
  <r>
    <x v="94"/>
    <s v="2024-04-05"/>
    <x v="1"/>
    <x v="4"/>
    <n v="25136"/>
    <n v="50272"/>
    <x v="0"/>
    <s v="Apr"/>
    <n v="92361.98"/>
  </r>
  <r>
    <x v="95"/>
    <s v="2024-04-06"/>
    <x v="0"/>
    <x v="2"/>
    <n v="8282"/>
    <n v="8282"/>
    <x v="2"/>
    <s v="Apr"/>
    <n v="92361.98"/>
  </r>
  <r>
    <x v="96"/>
    <s v="2024-04-07"/>
    <x v="3"/>
    <x v="0"/>
    <n v="23276"/>
    <n v="116380"/>
    <x v="1"/>
    <s v="Apr"/>
    <n v="92361.98"/>
  </r>
  <r>
    <x v="97"/>
    <s v="2024-04-08"/>
    <x v="1"/>
    <x v="1"/>
    <n v="23125"/>
    <n v="69375"/>
    <x v="3"/>
    <s v="Apr"/>
    <n v="92361.98"/>
  </r>
  <r>
    <x v="98"/>
    <s v="2024-04-09"/>
    <x v="3"/>
    <x v="2"/>
    <n v="15210"/>
    <n v="15210"/>
    <x v="1"/>
    <s v="Apr"/>
    <n v="92361.98"/>
  </r>
  <r>
    <x v="99"/>
    <s v="2024-04-10"/>
    <x v="4"/>
    <x v="1"/>
    <n v="58455"/>
    <n v="175365"/>
    <x v="3"/>
    <s v="Apr"/>
    <n v="92361.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83EFE-2B91-40B0-B8EF-5095BB521D61}"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104:D205" firstHeaderRow="1" firstDataRow="1" firstDataCol="1"/>
  <pivotFields count="9">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showAll="0"/>
    <pivotField showAll="0"/>
    <pivotField showAll="0"/>
    <pivotField dataField="1" showAl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avg_totalsales "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EB0E08-D086-48CF-AA73-DED69F605C2A}"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15:R22" firstHeaderRow="1" firstDataRow="2" firstDataCol="1"/>
  <pivotFields count="9">
    <pivotField showAll="0"/>
    <pivotField showAll="0"/>
    <pivotField axis="axisRow" showAll="0">
      <items count="6">
        <item x="1"/>
        <item x="4"/>
        <item x="0"/>
        <item x="2"/>
        <item x="3"/>
        <item t="default"/>
      </items>
    </pivotField>
    <pivotField showAll="0"/>
    <pivotField showAll="0"/>
    <pivotField dataField="1" showAll="0"/>
    <pivotField axis="axisCol" showAll="0">
      <items count="5">
        <item x="2"/>
        <item x="1"/>
        <item x="3"/>
        <item x="0"/>
        <item t="default"/>
      </items>
    </pivotField>
    <pivotField showAll="0"/>
    <pivotField showAll="0"/>
  </pivotFields>
  <rowFields count="1">
    <field x="2"/>
  </rowFields>
  <rowItems count="6">
    <i>
      <x/>
    </i>
    <i>
      <x v="1"/>
    </i>
    <i>
      <x v="2"/>
    </i>
    <i>
      <x v="3"/>
    </i>
    <i>
      <x v="4"/>
    </i>
    <i t="grand">
      <x/>
    </i>
  </rowItems>
  <colFields count="1">
    <field x="6"/>
  </colFields>
  <colItems count="5">
    <i>
      <x/>
    </i>
    <i>
      <x v="1"/>
    </i>
    <i>
      <x v="2"/>
    </i>
    <i>
      <x v="3"/>
    </i>
    <i t="grand">
      <x/>
    </i>
  </colItems>
  <dataFields count="1">
    <dataField name="Sum of TotalSales" fld="5"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AB43DB-1D5B-412C-84E2-9FD3068C1793}"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6:E90" firstHeaderRow="0" firstDataRow="1" firstDataCol="1"/>
  <pivotFields count="9">
    <pivotField showAll="0"/>
    <pivotField showAll="0"/>
    <pivotField axis="axisRow" showAll="0" measureFilter="1">
      <items count="6">
        <item x="1"/>
        <item x="4"/>
        <item x="0"/>
        <item x="2"/>
        <item x="3"/>
        <item t="default"/>
      </items>
    </pivotField>
    <pivotField dataField="1" showAll="0"/>
    <pivotField showAll="0"/>
    <pivotField dataField="1" showAll="0"/>
    <pivotField showAll="0"/>
    <pivotField showAll="0"/>
    <pivotField showAll="0"/>
  </pivotFields>
  <rowFields count="1">
    <field x="2"/>
  </rowFields>
  <rowItems count="4">
    <i>
      <x v="1"/>
    </i>
    <i>
      <x v="2"/>
    </i>
    <i>
      <x v="4"/>
    </i>
    <i t="grand">
      <x/>
    </i>
  </rowItems>
  <colFields count="1">
    <field x="-2"/>
  </colFields>
  <colItems count="2">
    <i>
      <x/>
    </i>
    <i i="1">
      <x v="1"/>
    </i>
  </colItems>
  <dataFields count="2">
    <dataField name="Sum of Quantity" fld="3" baseField="0" baseItem="0"/>
    <dataField name="Sum of TotalSales"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D97741-74D6-4E49-B72C-45110815B7C1}"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68:H70" firstHeaderRow="1" firstDataRow="2" firstDataCol="1"/>
  <pivotFields count="9">
    <pivotField showAll="0"/>
    <pivotField showAll="0"/>
    <pivotField showAll="0"/>
    <pivotField showAll="0"/>
    <pivotField showAll="0"/>
    <pivotField dataField="1" showAll="0"/>
    <pivotField axis="axisCol" showAll="0">
      <items count="5">
        <item x="2"/>
        <item x="1"/>
        <item x="3"/>
        <item x="0"/>
        <item t="default"/>
      </items>
    </pivotField>
    <pivotField showAll="0"/>
    <pivotField showAll="0"/>
  </pivotFields>
  <rowItems count="1">
    <i/>
  </rowItems>
  <colFields count="1">
    <field x="6"/>
  </colFields>
  <colItems count="5">
    <i>
      <x/>
    </i>
    <i>
      <x v="1"/>
    </i>
    <i>
      <x v="2"/>
    </i>
    <i>
      <x v="3"/>
    </i>
    <i t="grand">
      <x/>
    </i>
  </colItems>
  <dataFields count="1">
    <dataField name="Sum of TotalSales" fld="5"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3843D6-ABEF-4935-ABD3-5590335EDF26}"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51:D57" firstHeaderRow="1" firstDataRow="1" firstDataCol="1"/>
  <pivotFields count="9">
    <pivotField showAll="0"/>
    <pivotField showAll="0"/>
    <pivotField showAll="0"/>
    <pivotField axis="axisRow" showAll="0">
      <items count="6">
        <item x="2"/>
        <item x="4"/>
        <item x="1"/>
        <item x="3"/>
        <item x="0"/>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Total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638406-BAA9-4B05-9910-66D3E140EF70}"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9:C45" firstHeaderRow="1" firstDataRow="1" firstDataCol="1"/>
  <pivotFields count="9">
    <pivotField showAll="0"/>
    <pivotField showAll="0"/>
    <pivotField showAll="0"/>
    <pivotField axis="axisRow" showAll="0">
      <items count="6">
        <item x="2"/>
        <item x="4"/>
        <item x="1"/>
        <item x="3"/>
        <item x="0"/>
        <item t="default"/>
      </items>
    </pivotField>
    <pivotField showAll="0"/>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TotalSales" fld="5" baseField="0" baseItem="0"/>
  </dataField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7B1603-CB55-498C-A41E-C5AE37849914}"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33:M34" firstHeaderRow="1" firstDataRow="1" firstDataCol="0"/>
  <pivotFields count="9">
    <pivotField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TotalSales" fld="5" subtotal="average"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D55532-72C9-4E1D-9288-6B902EADF814}"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22:G28" firstHeaderRow="1" firstDataRow="1" firstDataCol="1"/>
  <pivotFields count="9">
    <pivotField showAll="0"/>
    <pivotField showAll="0"/>
    <pivotField axis="axisRow" showAll="0">
      <items count="6">
        <item x="1"/>
        <item x="4"/>
        <item x="0"/>
        <item x="2"/>
        <item x="3"/>
        <item t="default"/>
      </items>
    </pivotField>
    <pivotField dataField="1" showAll="0"/>
    <pivotField showAll="0"/>
    <pivotField showAll="0"/>
    <pivotField showAll="0">
      <items count="5">
        <item h="1" x="2"/>
        <item h="1" x="1"/>
        <item x="3"/>
        <item h="1" x="0"/>
        <item t="default"/>
      </items>
    </pivotField>
    <pivotField showAll="0"/>
    <pivotField showAll="0"/>
  </pivotFields>
  <rowFields count="1">
    <field x="2"/>
  </rowFields>
  <rowItems count="6">
    <i>
      <x/>
    </i>
    <i>
      <x v="1"/>
    </i>
    <i>
      <x v="2"/>
    </i>
    <i>
      <x v="3"/>
    </i>
    <i>
      <x v="4"/>
    </i>
    <i t="grand">
      <x/>
    </i>
  </rowItems>
  <colItems count="1">
    <i/>
  </colItems>
  <dataFields count="1">
    <dataField name="Sum of Quantity"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6F5B2-D141-4AE2-AB2B-80E444835CD5}"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25" firstHeaderRow="1" firstDataRow="1" firstDataCol="1"/>
  <pivotFields count="9">
    <pivotField showAll="0"/>
    <pivotField showAll="0"/>
    <pivotField showAll="0"/>
    <pivotField showAll="0"/>
    <pivotField showAll="0"/>
    <pivotField dataField="1" showAll="0"/>
    <pivotField axis="axisRow" showAll="0">
      <items count="5">
        <item x="2"/>
        <item x="1"/>
        <item x="3"/>
        <item x="0"/>
        <item t="default"/>
      </items>
    </pivotField>
    <pivotField showAll="0"/>
    <pivotField showAll="0"/>
  </pivotFields>
  <rowFields count="1">
    <field x="6"/>
  </rowFields>
  <rowItems count="5">
    <i>
      <x/>
    </i>
    <i>
      <x v="1"/>
    </i>
    <i>
      <x v="2"/>
    </i>
    <i>
      <x v="3"/>
    </i>
    <i t="grand">
      <x/>
    </i>
  </rowItems>
  <colItems count="1">
    <i/>
  </colItems>
  <dataFields count="1">
    <dataField name="Sum of Total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103E16-55E0-4CE1-BED5-2EE096995BDA}"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rowPageCount="1" colPageCount="1"/>
  <pivotFields count="9">
    <pivotField showAll="0"/>
    <pivotField showAll="0"/>
    <pivotField axis="axisRow" showAll="0">
      <items count="6">
        <item x="1"/>
        <item x="4"/>
        <item x="0"/>
        <item x="2"/>
        <item x="3"/>
        <item t="default"/>
      </items>
    </pivotField>
    <pivotField showAll="0"/>
    <pivotField showAll="0"/>
    <pivotField dataField="1" showAll="0"/>
    <pivotField axis="axisPage" showAll="0">
      <items count="5">
        <item x="2"/>
        <item x="1"/>
        <item x="3"/>
        <item x="0"/>
        <item t="default"/>
      </items>
    </pivotField>
    <pivotField showAll="0"/>
    <pivotField showAll="0"/>
  </pivotFields>
  <rowFields count="1">
    <field x="2"/>
  </rowFields>
  <rowItems count="6">
    <i>
      <x/>
    </i>
    <i>
      <x v="1"/>
    </i>
    <i>
      <x v="2"/>
    </i>
    <i>
      <x v="3"/>
    </i>
    <i>
      <x v="4"/>
    </i>
    <i t="grand">
      <x/>
    </i>
  </rowItems>
  <colItems count="1">
    <i/>
  </colItems>
  <pageFields count="1">
    <pageField fld="6" hier="-1"/>
  </pageFields>
  <dataFields count="1">
    <dataField name="Sum of TotalSales" fld="5"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25DDED-1EA8-40BE-B045-393AE54FB8C3}" sourceName="Region">
  <pivotTables>
    <pivotTable tabId="2" name="PivotTable3"/>
  </pivotTables>
  <data>
    <tabular pivotCacheId="308633272">
      <items count="4">
        <i x="2"/>
        <i x="1"/>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F53203-91EE-4A1E-A85A-19903F10B42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94F87D-5CC5-4E1C-8AD0-4565CFBFA0EE}" name="Table2" displayName="Table2" ref="A3:G20" totalsRowShown="0">
  <autoFilter ref="A3:G20" xr:uid="{2E94F87D-5CC5-4E1C-8AD0-4565CFBFA0EE}"/>
  <tableColumns count="7">
    <tableColumn id="1" xr3:uid="{3081999B-1732-4CB7-A37C-7A0670655C58}" name="OrderID"/>
    <tableColumn id="2" xr3:uid="{925855A6-AF3C-4C24-B4CE-57A976678E26}" name="Date"/>
    <tableColumn id="3" xr3:uid="{5DDC179D-3E81-4F54-ACE9-F9ACFEB42FA0}" name="Product"/>
    <tableColumn id="4" xr3:uid="{498343FF-E122-485B-A7CA-23463AA33CEF}" name="Quantity"/>
    <tableColumn id="5" xr3:uid="{4F24CF54-24C3-4699-BBA3-B379112F4CA8}" name="UnitPrice"/>
    <tableColumn id="6" xr3:uid="{1F2C2A42-518A-424E-8EDD-75A295D80A0C}" name="TotalSales"/>
    <tableColumn id="7" xr3:uid="{9555EB61-D5CF-4E88-BFE0-CCBD35F2EC01}"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68CAE3-07A3-4CF9-A8C9-B086C5D4E033}" name="Table4" displayName="Table4" ref="A3:I4" totalsRowShown="0">
  <autoFilter ref="A3:I4" xr:uid="{8568CAE3-07A3-4CF9-A8C9-B086C5D4E033}"/>
  <tableColumns count="9">
    <tableColumn id="1" xr3:uid="{09A36A20-F992-4A06-B433-D033D07EDFB8}" name="OrderID"/>
    <tableColumn id="2" xr3:uid="{02E6F3A2-D716-4C6E-9E9C-DB932FC0D01A}" name="Date"/>
    <tableColumn id="3" xr3:uid="{AB4AFE86-29FF-4622-8CB1-5A5E0328D4C3}" name="Product"/>
    <tableColumn id="4" xr3:uid="{0EFE56D3-0DAC-460C-9189-68D96FC6EF1A}" name="Quantity"/>
    <tableColumn id="5" xr3:uid="{F1840249-BC87-4BEC-AE16-76424E766CB8}" name="UnitPrice"/>
    <tableColumn id="6" xr3:uid="{61CF0EC9-CE60-4D3B-A117-A5EF2CD07FDF}" name="TotalSales"/>
    <tableColumn id="7" xr3:uid="{8558E6A7-E760-4726-822C-3EB90E4771C4}" name="Region"/>
    <tableColumn id="8" xr3:uid="{0D336652-3A7A-41EE-A46E-DEF3913FC70C}" name="month"/>
    <tableColumn id="9" xr3:uid="{DAA8979A-5F21-426D-9FD0-5B88DEEBD259}" name="avg_totalsales "/>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6A4358-27E4-4038-8BA6-62AA6B4167B9}" name="Table1" displayName="Table1" ref="A1:I101" totalsRowShown="0">
  <autoFilter ref="A1:I101" xr:uid="{796A4358-27E4-4038-8BA6-62AA6B4167B9}"/>
  <tableColumns count="9">
    <tableColumn id="1" xr3:uid="{B3513607-24B7-4E1A-A8B8-CC719C352582}" name="OrderID"/>
    <tableColumn id="2" xr3:uid="{2A5FB88B-B1DB-48BC-A411-A548C7578BD3}" name="Date"/>
    <tableColumn id="3" xr3:uid="{B7265B6C-2893-48A6-89AF-7F78C1E4F33D}" name="Product"/>
    <tableColumn id="4" xr3:uid="{1A0F1661-AC0E-4452-95D1-8490BEA5E407}" name="Quantity"/>
    <tableColumn id="5" xr3:uid="{A2DFEB0D-8AA7-4CC4-AC41-C7ED0DA8083D}" name="UnitPrice"/>
    <tableColumn id="6" xr3:uid="{B3BC8475-3FF2-469B-9CE6-F6262DADC233}" name="TotalSales"/>
    <tableColumn id="7" xr3:uid="{BBA67F9B-7545-4E4D-BE85-84EB63253152}" name="Region"/>
    <tableColumn id="8" xr3:uid="{40583643-58DB-4A23-94B6-9256061EAB3E}" name="month" dataDxfId="1">
      <calculatedColumnFormula>TEXT(Table1[[#This Row],[Date]],"mmm")</calculatedColumnFormula>
    </tableColumn>
    <tableColumn id="9" xr3:uid="{3DFB39CF-2C06-466E-A4B5-E342126266EF}" name="avg_totalsales " dataDxfId="0">
      <calculatedColumnFormula>AVERAGE(Table1[TotalSales])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0F957-D50C-4393-920A-5F74C896D7AF}">
  <dimension ref="A1:G20"/>
  <sheetViews>
    <sheetView workbookViewId="0">
      <selection activeCell="A3" sqref="A3:G20"/>
    </sheetView>
  </sheetViews>
  <sheetFormatPr defaultRowHeight="14.4" x14ac:dyDescent="0.3"/>
  <cols>
    <col min="1" max="1" width="9.77734375" bestFit="1" customWidth="1"/>
    <col min="2" max="2" width="10.33203125" bestFit="1" customWidth="1"/>
    <col min="3" max="3" width="11.109375" bestFit="1" customWidth="1"/>
    <col min="4" max="4" width="10.5546875" bestFit="1" customWidth="1"/>
    <col min="5" max="5" width="10.88671875" bestFit="1" customWidth="1"/>
    <col min="6" max="6" width="11.6640625" bestFit="1" customWidth="1"/>
    <col min="7" max="7" width="9" bestFit="1" customWidth="1"/>
  </cols>
  <sheetData>
    <row r="1" spans="1:7" x14ac:dyDescent="0.3">
      <c r="A1" s="4" t="s">
        <v>123</v>
      </c>
    </row>
    <row r="3" spans="1:7" x14ac:dyDescent="0.3">
      <c r="A3" t="s">
        <v>0</v>
      </c>
      <c r="B3" t="s">
        <v>1</v>
      </c>
      <c r="C3" t="s">
        <v>2</v>
      </c>
      <c r="D3" t="s">
        <v>3</v>
      </c>
      <c r="E3" t="s">
        <v>4</v>
      </c>
      <c r="F3" t="s">
        <v>5</v>
      </c>
      <c r="G3" t="s">
        <v>6</v>
      </c>
    </row>
    <row r="4" spans="1:7" x14ac:dyDescent="0.3">
      <c r="A4">
        <v>95</v>
      </c>
      <c r="B4" t="s">
        <v>110</v>
      </c>
      <c r="C4" t="s">
        <v>11</v>
      </c>
      <c r="D4">
        <v>2</v>
      </c>
      <c r="E4">
        <v>25136</v>
      </c>
      <c r="F4">
        <v>50272</v>
      </c>
      <c r="G4" t="s">
        <v>9</v>
      </c>
    </row>
    <row r="5" spans="1:7" x14ac:dyDescent="0.3">
      <c r="A5">
        <v>85</v>
      </c>
      <c r="B5" t="s">
        <v>100</v>
      </c>
      <c r="C5" t="s">
        <v>11</v>
      </c>
      <c r="D5">
        <v>2</v>
      </c>
      <c r="E5">
        <v>49140</v>
      </c>
      <c r="F5">
        <v>98280</v>
      </c>
      <c r="G5" t="s">
        <v>16</v>
      </c>
    </row>
    <row r="6" spans="1:7" x14ac:dyDescent="0.3">
      <c r="A6">
        <v>81</v>
      </c>
      <c r="B6" t="s">
        <v>96</v>
      </c>
      <c r="C6" t="s">
        <v>8</v>
      </c>
      <c r="D6">
        <v>2</v>
      </c>
      <c r="E6">
        <v>42599</v>
      </c>
      <c r="F6">
        <v>85198</v>
      </c>
      <c r="G6" t="s">
        <v>16</v>
      </c>
    </row>
    <row r="7" spans="1:7" x14ac:dyDescent="0.3">
      <c r="A7">
        <v>58</v>
      </c>
      <c r="B7" t="s">
        <v>73</v>
      </c>
      <c r="C7" t="s">
        <v>8</v>
      </c>
      <c r="D7">
        <v>2</v>
      </c>
      <c r="E7">
        <v>25624</v>
      </c>
      <c r="F7">
        <v>51248</v>
      </c>
      <c r="G7" t="s">
        <v>16</v>
      </c>
    </row>
    <row r="8" spans="1:7" x14ac:dyDescent="0.3">
      <c r="A8">
        <v>57</v>
      </c>
      <c r="B8" t="s">
        <v>72</v>
      </c>
      <c r="C8" t="s">
        <v>22</v>
      </c>
      <c r="D8">
        <v>2</v>
      </c>
      <c r="E8">
        <v>50461</v>
      </c>
      <c r="F8">
        <v>100922</v>
      </c>
      <c r="G8" t="s">
        <v>16</v>
      </c>
    </row>
    <row r="9" spans="1:7" x14ac:dyDescent="0.3">
      <c r="A9">
        <v>54</v>
      </c>
      <c r="B9" t="s">
        <v>69</v>
      </c>
      <c r="C9" t="s">
        <v>27</v>
      </c>
      <c r="D9">
        <v>2</v>
      </c>
      <c r="E9">
        <v>49980</v>
      </c>
      <c r="F9">
        <v>99960</v>
      </c>
      <c r="G9" t="s">
        <v>16</v>
      </c>
    </row>
    <row r="10" spans="1:7" x14ac:dyDescent="0.3">
      <c r="A10">
        <v>53</v>
      </c>
      <c r="B10" t="s">
        <v>68</v>
      </c>
      <c r="C10" t="s">
        <v>11</v>
      </c>
      <c r="D10">
        <v>2</v>
      </c>
      <c r="E10">
        <v>27835</v>
      </c>
      <c r="F10">
        <v>55670</v>
      </c>
      <c r="G10" t="s">
        <v>12</v>
      </c>
    </row>
    <row r="11" spans="1:7" x14ac:dyDescent="0.3">
      <c r="A11">
        <v>46</v>
      </c>
      <c r="B11" t="s">
        <v>61</v>
      </c>
      <c r="C11" t="s">
        <v>22</v>
      </c>
      <c r="D11">
        <v>2</v>
      </c>
      <c r="E11">
        <v>54390</v>
      </c>
      <c r="F11">
        <v>108780</v>
      </c>
      <c r="G11" t="s">
        <v>9</v>
      </c>
    </row>
    <row r="12" spans="1:7" x14ac:dyDescent="0.3">
      <c r="A12">
        <v>9</v>
      </c>
      <c r="B12" t="s">
        <v>23</v>
      </c>
      <c r="C12" t="s">
        <v>8</v>
      </c>
      <c r="D12">
        <v>2</v>
      </c>
      <c r="E12">
        <v>17991</v>
      </c>
      <c r="F12">
        <v>35982</v>
      </c>
      <c r="G12" t="s">
        <v>16</v>
      </c>
    </row>
    <row r="13" spans="1:7" x14ac:dyDescent="0.3">
      <c r="A13">
        <v>10</v>
      </c>
      <c r="B13" t="s">
        <v>24</v>
      </c>
      <c r="C13" t="s">
        <v>20</v>
      </c>
      <c r="D13">
        <v>2</v>
      </c>
      <c r="E13">
        <v>6434</v>
      </c>
      <c r="F13">
        <v>12868</v>
      </c>
      <c r="G13" t="s">
        <v>12</v>
      </c>
    </row>
    <row r="14" spans="1:7" x14ac:dyDescent="0.3">
      <c r="A14">
        <v>11</v>
      </c>
      <c r="B14" t="s">
        <v>25</v>
      </c>
      <c r="C14" t="s">
        <v>11</v>
      </c>
      <c r="D14">
        <v>2</v>
      </c>
      <c r="E14">
        <v>56566</v>
      </c>
      <c r="F14">
        <v>113132</v>
      </c>
      <c r="G14" t="s">
        <v>14</v>
      </c>
    </row>
    <row r="15" spans="1:7" x14ac:dyDescent="0.3">
      <c r="A15">
        <v>12</v>
      </c>
      <c r="B15" t="s">
        <v>26</v>
      </c>
      <c r="C15" t="s">
        <v>27</v>
      </c>
      <c r="D15">
        <v>2</v>
      </c>
      <c r="E15">
        <v>20620</v>
      </c>
      <c r="F15">
        <v>41240</v>
      </c>
      <c r="G15" t="s">
        <v>16</v>
      </c>
    </row>
    <row r="16" spans="1:7" x14ac:dyDescent="0.3">
      <c r="A16">
        <v>43</v>
      </c>
      <c r="B16" t="s">
        <v>58</v>
      </c>
      <c r="C16" t="s">
        <v>27</v>
      </c>
      <c r="D16">
        <v>2</v>
      </c>
      <c r="E16">
        <v>15370</v>
      </c>
      <c r="F16">
        <v>30740</v>
      </c>
      <c r="G16" t="s">
        <v>12</v>
      </c>
    </row>
    <row r="17" spans="1:7" x14ac:dyDescent="0.3">
      <c r="A17">
        <v>14</v>
      </c>
      <c r="B17" t="s">
        <v>29</v>
      </c>
      <c r="C17" t="s">
        <v>8</v>
      </c>
      <c r="D17">
        <v>2</v>
      </c>
      <c r="E17">
        <v>57569</v>
      </c>
      <c r="F17">
        <v>115138</v>
      </c>
      <c r="G17" t="s">
        <v>12</v>
      </c>
    </row>
    <row r="18" spans="1:7" x14ac:dyDescent="0.3">
      <c r="A18">
        <v>40</v>
      </c>
      <c r="B18" t="s">
        <v>55</v>
      </c>
      <c r="C18" t="s">
        <v>20</v>
      </c>
      <c r="D18">
        <v>2</v>
      </c>
      <c r="E18">
        <v>21882</v>
      </c>
      <c r="F18">
        <v>43764</v>
      </c>
      <c r="G18" t="s">
        <v>14</v>
      </c>
    </row>
    <row r="19" spans="1:7" x14ac:dyDescent="0.3">
      <c r="A19">
        <v>26</v>
      </c>
      <c r="B19" t="s">
        <v>41</v>
      </c>
      <c r="C19" t="s">
        <v>27</v>
      </c>
      <c r="D19">
        <v>2</v>
      </c>
      <c r="E19">
        <v>27519</v>
      </c>
      <c r="F19">
        <v>55038</v>
      </c>
      <c r="G19" t="s">
        <v>9</v>
      </c>
    </row>
    <row r="20" spans="1:7" x14ac:dyDescent="0.3">
      <c r="A20">
        <v>18</v>
      </c>
      <c r="B20" t="s">
        <v>33</v>
      </c>
      <c r="C20" t="s">
        <v>22</v>
      </c>
      <c r="D20">
        <v>2</v>
      </c>
      <c r="E20">
        <v>51988</v>
      </c>
      <c r="F20">
        <v>103976</v>
      </c>
      <c r="G20"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75B3F-4D4B-46F9-A5A7-6C7D9BB439F4}">
  <dimension ref="A1:I4"/>
  <sheetViews>
    <sheetView workbookViewId="0">
      <selection activeCell="G12" sqref="G12"/>
    </sheetView>
  </sheetViews>
  <sheetFormatPr defaultRowHeight="14.4" x14ac:dyDescent="0.3"/>
  <cols>
    <col min="1" max="1" width="9.77734375" bestFit="1" customWidth="1"/>
    <col min="2" max="2" width="10.33203125" bestFit="1" customWidth="1"/>
    <col min="3" max="3" width="9.88671875" bestFit="1" customWidth="1"/>
    <col min="4" max="4" width="10.5546875" bestFit="1" customWidth="1"/>
    <col min="5" max="5" width="10.88671875" bestFit="1" customWidth="1"/>
    <col min="6" max="6" width="11.6640625" bestFit="1" customWidth="1"/>
    <col min="7" max="8" width="9" bestFit="1" customWidth="1"/>
    <col min="9" max="9" width="15.6640625" bestFit="1" customWidth="1"/>
  </cols>
  <sheetData>
    <row r="1" spans="1:9" x14ac:dyDescent="0.3">
      <c r="A1" s="4" t="s">
        <v>128</v>
      </c>
    </row>
    <row r="3" spans="1:9" x14ac:dyDescent="0.3">
      <c r="A3" t="s">
        <v>0</v>
      </c>
      <c r="B3" t="s">
        <v>1</v>
      </c>
      <c r="C3" t="s">
        <v>2</v>
      </c>
      <c r="D3" t="s">
        <v>3</v>
      </c>
      <c r="E3" t="s">
        <v>4</v>
      </c>
      <c r="F3" t="s">
        <v>5</v>
      </c>
      <c r="G3" t="s">
        <v>6</v>
      </c>
      <c r="H3" t="s">
        <v>124</v>
      </c>
      <c r="I3" t="s">
        <v>125</v>
      </c>
    </row>
    <row r="4" spans="1:9" x14ac:dyDescent="0.3">
      <c r="A4">
        <v>4</v>
      </c>
      <c r="B4" t="s">
        <v>15</v>
      </c>
      <c r="C4" t="s">
        <v>8</v>
      </c>
      <c r="D4">
        <v>1</v>
      </c>
      <c r="E4">
        <v>31951</v>
      </c>
      <c r="F4">
        <v>31951</v>
      </c>
      <c r="G4" t="s">
        <v>16</v>
      </c>
      <c r="H4" t="s">
        <v>127</v>
      </c>
      <c r="I4">
        <v>92361.98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9BCA1-8E6A-4256-A7D4-089C6EBD2537}">
  <dimension ref="A1:R205"/>
  <sheetViews>
    <sheetView tabSelected="1" workbookViewId="0">
      <selection activeCell="M33" sqref="M33"/>
    </sheetView>
  </sheetViews>
  <sheetFormatPr defaultRowHeight="14.4" x14ac:dyDescent="0.3"/>
  <cols>
    <col min="1" max="1" width="12.5546875" bestFit="1" customWidth="1"/>
    <col min="2" max="2" width="16" bestFit="1" customWidth="1"/>
    <col min="3" max="3" width="12.5546875" bestFit="1" customWidth="1"/>
    <col min="4" max="4" width="20" bestFit="1" customWidth="1"/>
    <col min="5" max="5" width="8" bestFit="1" customWidth="1"/>
    <col min="6" max="6" width="12.5546875" bestFit="1" customWidth="1"/>
    <col min="7" max="7" width="14.88671875" bestFit="1" customWidth="1"/>
    <col min="8" max="9" width="10.77734375" bestFit="1" customWidth="1"/>
    <col min="10" max="12" width="6" bestFit="1" customWidth="1"/>
    <col min="13" max="14" width="19.21875" bestFit="1" customWidth="1"/>
    <col min="15" max="17" width="8" bestFit="1" customWidth="1"/>
    <col min="18" max="18" width="10.77734375" bestFit="1" customWidth="1"/>
    <col min="19" max="62" width="6" bestFit="1" customWidth="1"/>
    <col min="63" max="101" width="7" bestFit="1" customWidth="1"/>
    <col min="102" max="102" width="10.77734375" bestFit="1" customWidth="1"/>
  </cols>
  <sheetData>
    <row r="1" spans="1:18" x14ac:dyDescent="0.3">
      <c r="A1" s="1" t="s">
        <v>6</v>
      </c>
      <c r="B1" t="s">
        <v>116</v>
      </c>
    </row>
    <row r="3" spans="1:18" x14ac:dyDescent="0.3">
      <c r="A3" s="1" t="s">
        <v>117</v>
      </c>
      <c r="B3" t="s">
        <v>119</v>
      </c>
    </row>
    <row r="4" spans="1:18" x14ac:dyDescent="0.3">
      <c r="A4" s="2" t="s">
        <v>11</v>
      </c>
      <c r="B4" s="3">
        <v>1740946</v>
      </c>
    </row>
    <row r="5" spans="1:18" x14ac:dyDescent="0.3">
      <c r="A5" s="2" t="s">
        <v>27</v>
      </c>
      <c r="B5" s="3">
        <v>2204191</v>
      </c>
    </row>
    <row r="6" spans="1:18" x14ac:dyDescent="0.3">
      <c r="A6" s="2" t="s">
        <v>8</v>
      </c>
      <c r="B6" s="3">
        <v>1939196</v>
      </c>
    </row>
    <row r="7" spans="1:18" x14ac:dyDescent="0.3">
      <c r="A7" s="2" t="s">
        <v>20</v>
      </c>
      <c r="B7" s="3">
        <v>1336627</v>
      </c>
    </row>
    <row r="8" spans="1:18" x14ac:dyDescent="0.3">
      <c r="A8" s="2" t="s">
        <v>22</v>
      </c>
      <c r="B8" s="3">
        <v>2015238</v>
      </c>
    </row>
    <row r="9" spans="1:18" x14ac:dyDescent="0.3">
      <c r="A9" s="2" t="s">
        <v>118</v>
      </c>
      <c r="B9" s="3">
        <v>9236198</v>
      </c>
    </row>
    <row r="15" spans="1:18" x14ac:dyDescent="0.3">
      <c r="M15" s="1" t="s">
        <v>119</v>
      </c>
      <c r="N15" s="1" t="s">
        <v>120</v>
      </c>
    </row>
    <row r="16" spans="1:18" x14ac:dyDescent="0.3">
      <c r="M16" s="1" t="s">
        <v>117</v>
      </c>
      <c r="N16" t="s">
        <v>14</v>
      </c>
      <c r="O16" t="s">
        <v>12</v>
      </c>
      <c r="P16" t="s">
        <v>16</v>
      </c>
      <c r="Q16" t="s">
        <v>9</v>
      </c>
      <c r="R16" t="s">
        <v>118</v>
      </c>
    </row>
    <row r="17" spans="1:18" x14ac:dyDescent="0.3">
      <c r="M17" s="2" t="s">
        <v>11</v>
      </c>
      <c r="N17" s="3">
        <v>368941</v>
      </c>
      <c r="O17" s="3">
        <v>348793</v>
      </c>
      <c r="P17" s="3">
        <v>510972</v>
      </c>
      <c r="Q17" s="3">
        <v>512240</v>
      </c>
      <c r="R17" s="3">
        <v>1740946</v>
      </c>
    </row>
    <row r="18" spans="1:18" x14ac:dyDescent="0.3">
      <c r="M18" s="2" t="s">
        <v>27</v>
      </c>
      <c r="N18" s="3">
        <v>320336</v>
      </c>
      <c r="O18" s="3">
        <v>563647</v>
      </c>
      <c r="P18" s="3">
        <v>606835</v>
      </c>
      <c r="Q18" s="3">
        <v>713373</v>
      </c>
      <c r="R18" s="3">
        <v>2204191</v>
      </c>
    </row>
    <row r="19" spans="1:18" x14ac:dyDescent="0.3">
      <c r="M19" s="2" t="s">
        <v>8</v>
      </c>
      <c r="N19" s="3">
        <v>319651</v>
      </c>
      <c r="O19" s="3">
        <v>481095</v>
      </c>
      <c r="P19" s="3">
        <v>790333</v>
      </c>
      <c r="Q19" s="3">
        <v>348117</v>
      </c>
      <c r="R19" s="3">
        <v>1939196</v>
      </c>
    </row>
    <row r="20" spans="1:18" x14ac:dyDescent="0.3">
      <c r="A20" s="1" t="s">
        <v>117</v>
      </c>
      <c r="B20" t="s">
        <v>119</v>
      </c>
      <c r="M20" s="2" t="s">
        <v>20</v>
      </c>
      <c r="N20" s="3">
        <v>269298</v>
      </c>
      <c r="O20" s="3">
        <v>26768</v>
      </c>
      <c r="P20" s="3">
        <v>834737</v>
      </c>
      <c r="Q20" s="3">
        <v>205824</v>
      </c>
      <c r="R20" s="3">
        <v>1336627</v>
      </c>
    </row>
    <row r="21" spans="1:18" x14ac:dyDescent="0.3">
      <c r="A21" s="2" t="s">
        <v>14</v>
      </c>
      <c r="B21" s="3">
        <v>1489255</v>
      </c>
      <c r="M21" s="2" t="s">
        <v>22</v>
      </c>
      <c r="N21" s="3">
        <v>211029</v>
      </c>
      <c r="O21" s="3">
        <v>514697</v>
      </c>
      <c r="P21" s="3">
        <v>492790</v>
      </c>
      <c r="Q21" s="3">
        <v>796722</v>
      </c>
      <c r="R21" s="3">
        <v>2015238</v>
      </c>
    </row>
    <row r="22" spans="1:18" x14ac:dyDescent="0.3">
      <c r="A22" s="2" t="s">
        <v>12</v>
      </c>
      <c r="B22" s="3">
        <v>1935000</v>
      </c>
      <c r="F22" s="1" t="s">
        <v>117</v>
      </c>
      <c r="G22" t="s">
        <v>121</v>
      </c>
      <c r="M22" s="2" t="s">
        <v>118</v>
      </c>
      <c r="N22" s="3">
        <v>1489255</v>
      </c>
      <c r="O22" s="3">
        <v>1935000</v>
      </c>
      <c r="P22" s="3">
        <v>3235667</v>
      </c>
      <c r="Q22" s="3">
        <v>2576276</v>
      </c>
      <c r="R22" s="3">
        <v>9236198</v>
      </c>
    </row>
    <row r="23" spans="1:18" x14ac:dyDescent="0.3">
      <c r="A23" s="2" t="s">
        <v>16</v>
      </c>
      <c r="B23" s="3">
        <v>3235667</v>
      </c>
      <c r="F23" s="2" t="s">
        <v>11</v>
      </c>
      <c r="G23" s="3">
        <v>17</v>
      </c>
    </row>
    <row r="24" spans="1:18" x14ac:dyDescent="0.3">
      <c r="A24" s="2" t="s">
        <v>9</v>
      </c>
      <c r="B24" s="3">
        <v>2576276</v>
      </c>
      <c r="F24" s="2" t="s">
        <v>27</v>
      </c>
      <c r="G24" s="3">
        <v>20</v>
      </c>
    </row>
    <row r="25" spans="1:18" x14ac:dyDescent="0.3">
      <c r="A25" s="2" t="s">
        <v>118</v>
      </c>
      <c r="B25" s="3">
        <v>9236198</v>
      </c>
      <c r="F25" s="2" t="s">
        <v>8</v>
      </c>
      <c r="G25" s="3">
        <v>18</v>
      </c>
    </row>
    <row r="26" spans="1:18" x14ac:dyDescent="0.3">
      <c r="F26" s="2" t="s">
        <v>20</v>
      </c>
      <c r="G26" s="3">
        <v>19</v>
      </c>
    </row>
    <row r="27" spans="1:18" x14ac:dyDescent="0.3">
      <c r="F27" s="2" t="s">
        <v>22</v>
      </c>
      <c r="G27" s="3">
        <v>10</v>
      </c>
    </row>
    <row r="28" spans="1:18" x14ac:dyDescent="0.3">
      <c r="F28" s="2" t="s">
        <v>118</v>
      </c>
      <c r="G28" s="3">
        <v>84</v>
      </c>
    </row>
    <row r="33" spans="2:13" x14ac:dyDescent="0.3">
      <c r="M33" t="s">
        <v>122</v>
      </c>
    </row>
    <row r="34" spans="2:13" x14ac:dyDescent="0.3">
      <c r="M34" s="3">
        <v>92361.98</v>
      </c>
    </row>
    <row r="39" spans="2:13" x14ac:dyDescent="0.3">
      <c r="B39" s="1" t="s">
        <v>117</v>
      </c>
      <c r="C39" t="s">
        <v>119</v>
      </c>
    </row>
    <row r="40" spans="2:13" x14ac:dyDescent="0.3">
      <c r="B40" s="2">
        <v>1</v>
      </c>
      <c r="C40" s="3">
        <v>680324</v>
      </c>
    </row>
    <row r="41" spans="2:13" x14ac:dyDescent="0.3">
      <c r="B41" s="2">
        <v>2</v>
      </c>
      <c r="C41" s="3">
        <v>1202208</v>
      </c>
    </row>
    <row r="42" spans="2:13" x14ac:dyDescent="0.3">
      <c r="B42" s="2">
        <v>3</v>
      </c>
      <c r="C42" s="3">
        <v>2792829</v>
      </c>
    </row>
    <row r="43" spans="2:13" x14ac:dyDescent="0.3">
      <c r="B43" s="2">
        <v>4</v>
      </c>
      <c r="C43" s="3">
        <v>1880652</v>
      </c>
    </row>
    <row r="44" spans="2:13" x14ac:dyDescent="0.3">
      <c r="B44" s="2">
        <v>5</v>
      </c>
      <c r="C44" s="3">
        <v>2680185</v>
      </c>
    </row>
    <row r="45" spans="2:13" x14ac:dyDescent="0.3">
      <c r="B45" s="2" t="s">
        <v>118</v>
      </c>
      <c r="C45" s="3">
        <v>9236198</v>
      </c>
    </row>
    <row r="51" spans="3:4" x14ac:dyDescent="0.3">
      <c r="C51" s="1" t="s">
        <v>117</v>
      </c>
      <c r="D51" t="s">
        <v>119</v>
      </c>
    </row>
    <row r="52" spans="3:4" x14ac:dyDescent="0.3">
      <c r="C52" s="2">
        <v>1</v>
      </c>
      <c r="D52" s="3">
        <v>680324</v>
      </c>
    </row>
    <row r="53" spans="3:4" x14ac:dyDescent="0.3">
      <c r="C53" s="2">
        <v>2</v>
      </c>
      <c r="D53" s="3">
        <v>1202208</v>
      </c>
    </row>
    <row r="54" spans="3:4" x14ac:dyDescent="0.3">
      <c r="C54" s="2">
        <v>3</v>
      </c>
      <c r="D54" s="3">
        <v>2792829</v>
      </c>
    </row>
    <row r="55" spans="3:4" x14ac:dyDescent="0.3">
      <c r="C55" s="2">
        <v>4</v>
      </c>
      <c r="D55" s="3">
        <v>1880652</v>
      </c>
    </row>
    <row r="56" spans="3:4" x14ac:dyDescent="0.3">
      <c r="C56" s="2">
        <v>5</v>
      </c>
      <c r="D56" s="3">
        <v>2680185</v>
      </c>
    </row>
    <row r="57" spans="3:4" x14ac:dyDescent="0.3">
      <c r="C57" s="2" t="s">
        <v>118</v>
      </c>
      <c r="D57" s="3">
        <v>9236198</v>
      </c>
    </row>
    <row r="68" spans="3:8" x14ac:dyDescent="0.3">
      <c r="D68" s="1" t="s">
        <v>120</v>
      </c>
    </row>
    <row r="69" spans="3:8" x14ac:dyDescent="0.3">
      <c r="D69" t="s">
        <v>14</v>
      </c>
      <c r="E69" t="s">
        <v>12</v>
      </c>
      <c r="F69" t="s">
        <v>16</v>
      </c>
      <c r="G69" t="s">
        <v>9</v>
      </c>
      <c r="H69" t="s">
        <v>118</v>
      </c>
    </row>
    <row r="70" spans="3:8" x14ac:dyDescent="0.3">
      <c r="C70" t="s">
        <v>119</v>
      </c>
      <c r="D70" s="3">
        <v>1489255</v>
      </c>
      <c r="E70" s="3">
        <v>1935000</v>
      </c>
      <c r="F70" s="3">
        <v>3235667</v>
      </c>
      <c r="G70" s="3">
        <v>2576276</v>
      </c>
      <c r="H70" s="3">
        <v>9236198</v>
      </c>
    </row>
    <row r="86" spans="3:5" x14ac:dyDescent="0.3">
      <c r="C86" s="1" t="s">
        <v>117</v>
      </c>
      <c r="D86" t="s">
        <v>121</v>
      </c>
      <c r="E86" t="s">
        <v>119</v>
      </c>
    </row>
    <row r="87" spans="3:5" x14ac:dyDescent="0.3">
      <c r="C87" s="2" t="s">
        <v>27</v>
      </c>
      <c r="D87" s="3">
        <v>85</v>
      </c>
      <c r="E87" s="3">
        <v>2204191</v>
      </c>
    </row>
    <row r="88" spans="3:5" x14ac:dyDescent="0.3">
      <c r="C88" s="2" t="s">
        <v>8</v>
      </c>
      <c r="D88" s="3">
        <v>66</v>
      </c>
      <c r="E88" s="3">
        <v>1939196</v>
      </c>
    </row>
    <row r="89" spans="3:5" x14ac:dyDescent="0.3">
      <c r="C89" s="2" t="s">
        <v>22</v>
      </c>
      <c r="D89" s="3">
        <v>65</v>
      </c>
      <c r="E89" s="3">
        <v>2015238</v>
      </c>
    </row>
    <row r="90" spans="3:5" x14ac:dyDescent="0.3">
      <c r="C90" s="2" t="s">
        <v>118</v>
      </c>
      <c r="D90" s="3">
        <v>216</v>
      </c>
      <c r="E90" s="3">
        <v>6158625</v>
      </c>
    </row>
    <row r="104" spans="3:4" x14ac:dyDescent="0.3">
      <c r="C104" s="1" t="s">
        <v>117</v>
      </c>
      <c r="D104" t="s">
        <v>126</v>
      </c>
    </row>
    <row r="105" spans="3:4" x14ac:dyDescent="0.3">
      <c r="C105" s="2">
        <v>1</v>
      </c>
      <c r="D105" s="3">
        <v>92361.98</v>
      </c>
    </row>
    <row r="106" spans="3:4" x14ac:dyDescent="0.3">
      <c r="C106" s="2">
        <v>2</v>
      </c>
      <c r="D106" s="3">
        <v>92361.98</v>
      </c>
    </row>
    <row r="107" spans="3:4" x14ac:dyDescent="0.3">
      <c r="C107" s="2">
        <v>3</v>
      </c>
      <c r="D107" s="3">
        <v>92361.98</v>
      </c>
    </row>
    <row r="108" spans="3:4" x14ac:dyDescent="0.3">
      <c r="C108" s="2">
        <v>4</v>
      </c>
      <c r="D108" s="3">
        <v>92361.98</v>
      </c>
    </row>
    <row r="109" spans="3:4" x14ac:dyDescent="0.3">
      <c r="C109" s="2">
        <v>5</v>
      </c>
      <c r="D109" s="3">
        <v>92361.98</v>
      </c>
    </row>
    <row r="110" spans="3:4" x14ac:dyDescent="0.3">
      <c r="C110" s="2">
        <v>6</v>
      </c>
      <c r="D110" s="3">
        <v>92361.98</v>
      </c>
    </row>
    <row r="111" spans="3:4" x14ac:dyDescent="0.3">
      <c r="C111" s="2">
        <v>7</v>
      </c>
      <c r="D111" s="3">
        <v>92361.98</v>
      </c>
    </row>
    <row r="112" spans="3:4" x14ac:dyDescent="0.3">
      <c r="C112" s="2">
        <v>8</v>
      </c>
      <c r="D112" s="3">
        <v>92361.98</v>
      </c>
    </row>
    <row r="113" spans="3:4" x14ac:dyDescent="0.3">
      <c r="C113" s="2">
        <v>9</v>
      </c>
      <c r="D113" s="3">
        <v>92361.98</v>
      </c>
    </row>
    <row r="114" spans="3:4" x14ac:dyDescent="0.3">
      <c r="C114" s="2">
        <v>10</v>
      </c>
      <c r="D114" s="3">
        <v>92361.98</v>
      </c>
    </row>
    <row r="115" spans="3:4" x14ac:dyDescent="0.3">
      <c r="C115" s="2">
        <v>11</v>
      </c>
      <c r="D115" s="3">
        <v>92361.98</v>
      </c>
    </row>
    <row r="116" spans="3:4" x14ac:dyDescent="0.3">
      <c r="C116" s="2">
        <v>12</v>
      </c>
      <c r="D116" s="3">
        <v>92361.98</v>
      </c>
    </row>
    <row r="117" spans="3:4" x14ac:dyDescent="0.3">
      <c r="C117" s="2">
        <v>13</v>
      </c>
      <c r="D117" s="3">
        <v>92361.98</v>
      </c>
    </row>
    <row r="118" spans="3:4" x14ac:dyDescent="0.3">
      <c r="C118" s="2">
        <v>14</v>
      </c>
      <c r="D118" s="3">
        <v>92361.98</v>
      </c>
    </row>
    <row r="119" spans="3:4" x14ac:dyDescent="0.3">
      <c r="C119" s="2">
        <v>15</v>
      </c>
      <c r="D119" s="3">
        <v>92361.98</v>
      </c>
    </row>
    <row r="120" spans="3:4" x14ac:dyDescent="0.3">
      <c r="C120" s="2">
        <v>16</v>
      </c>
      <c r="D120" s="3">
        <v>92361.98</v>
      </c>
    </row>
    <row r="121" spans="3:4" x14ac:dyDescent="0.3">
      <c r="C121" s="2">
        <v>17</v>
      </c>
      <c r="D121" s="3">
        <v>92361.98</v>
      </c>
    </row>
    <row r="122" spans="3:4" x14ac:dyDescent="0.3">
      <c r="C122" s="2">
        <v>18</v>
      </c>
      <c r="D122" s="3">
        <v>92361.98</v>
      </c>
    </row>
    <row r="123" spans="3:4" x14ac:dyDescent="0.3">
      <c r="C123" s="2">
        <v>19</v>
      </c>
      <c r="D123" s="3">
        <v>92361.98</v>
      </c>
    </row>
    <row r="124" spans="3:4" x14ac:dyDescent="0.3">
      <c r="C124" s="2">
        <v>20</v>
      </c>
      <c r="D124" s="3">
        <v>92361.98</v>
      </c>
    </row>
    <row r="125" spans="3:4" x14ac:dyDescent="0.3">
      <c r="C125" s="2">
        <v>21</v>
      </c>
      <c r="D125" s="3">
        <v>92361.98</v>
      </c>
    </row>
    <row r="126" spans="3:4" x14ac:dyDescent="0.3">
      <c r="C126" s="2">
        <v>22</v>
      </c>
      <c r="D126" s="3">
        <v>92361.98</v>
      </c>
    </row>
    <row r="127" spans="3:4" x14ac:dyDescent="0.3">
      <c r="C127" s="2">
        <v>23</v>
      </c>
      <c r="D127" s="3">
        <v>92361.98</v>
      </c>
    </row>
    <row r="128" spans="3:4" x14ac:dyDescent="0.3">
      <c r="C128" s="2">
        <v>24</v>
      </c>
      <c r="D128" s="3">
        <v>92361.98</v>
      </c>
    </row>
    <row r="129" spans="3:4" x14ac:dyDescent="0.3">
      <c r="C129" s="2">
        <v>25</v>
      </c>
      <c r="D129" s="3">
        <v>92361.98</v>
      </c>
    </row>
    <row r="130" spans="3:4" x14ac:dyDescent="0.3">
      <c r="C130" s="2">
        <v>26</v>
      </c>
      <c r="D130" s="3">
        <v>92361.98</v>
      </c>
    </row>
    <row r="131" spans="3:4" x14ac:dyDescent="0.3">
      <c r="C131" s="2">
        <v>27</v>
      </c>
      <c r="D131" s="3">
        <v>92361.98</v>
      </c>
    </row>
    <row r="132" spans="3:4" x14ac:dyDescent="0.3">
      <c r="C132" s="2">
        <v>28</v>
      </c>
      <c r="D132" s="3">
        <v>92361.98</v>
      </c>
    </row>
    <row r="133" spans="3:4" x14ac:dyDescent="0.3">
      <c r="C133" s="2">
        <v>29</v>
      </c>
      <c r="D133" s="3">
        <v>92361.98</v>
      </c>
    </row>
    <row r="134" spans="3:4" x14ac:dyDescent="0.3">
      <c r="C134" s="2">
        <v>30</v>
      </c>
      <c r="D134" s="3">
        <v>92361.98</v>
      </c>
    </row>
    <row r="135" spans="3:4" x14ac:dyDescent="0.3">
      <c r="C135" s="2">
        <v>31</v>
      </c>
      <c r="D135" s="3">
        <v>92361.98</v>
      </c>
    </row>
    <row r="136" spans="3:4" x14ac:dyDescent="0.3">
      <c r="C136" s="2">
        <v>32</v>
      </c>
      <c r="D136" s="3">
        <v>92361.98</v>
      </c>
    </row>
    <row r="137" spans="3:4" x14ac:dyDescent="0.3">
      <c r="C137" s="2">
        <v>33</v>
      </c>
      <c r="D137" s="3">
        <v>92361.98</v>
      </c>
    </row>
    <row r="138" spans="3:4" x14ac:dyDescent="0.3">
      <c r="C138" s="2">
        <v>34</v>
      </c>
      <c r="D138" s="3">
        <v>92361.98</v>
      </c>
    </row>
    <row r="139" spans="3:4" x14ac:dyDescent="0.3">
      <c r="C139" s="2">
        <v>35</v>
      </c>
      <c r="D139" s="3">
        <v>92361.98</v>
      </c>
    </row>
    <row r="140" spans="3:4" x14ac:dyDescent="0.3">
      <c r="C140" s="2">
        <v>36</v>
      </c>
      <c r="D140" s="3">
        <v>92361.98</v>
      </c>
    </row>
    <row r="141" spans="3:4" x14ac:dyDescent="0.3">
      <c r="C141" s="2">
        <v>37</v>
      </c>
      <c r="D141" s="3">
        <v>92361.98</v>
      </c>
    </row>
    <row r="142" spans="3:4" x14ac:dyDescent="0.3">
      <c r="C142" s="2">
        <v>38</v>
      </c>
      <c r="D142" s="3">
        <v>92361.98</v>
      </c>
    </row>
    <row r="143" spans="3:4" x14ac:dyDescent="0.3">
      <c r="C143" s="2">
        <v>39</v>
      </c>
      <c r="D143" s="3">
        <v>92361.98</v>
      </c>
    </row>
    <row r="144" spans="3:4" x14ac:dyDescent="0.3">
      <c r="C144" s="2">
        <v>40</v>
      </c>
      <c r="D144" s="3">
        <v>92361.98</v>
      </c>
    </row>
    <row r="145" spans="3:4" x14ac:dyDescent="0.3">
      <c r="C145" s="2">
        <v>41</v>
      </c>
      <c r="D145" s="3">
        <v>92361.98</v>
      </c>
    </row>
    <row r="146" spans="3:4" x14ac:dyDescent="0.3">
      <c r="C146" s="2">
        <v>42</v>
      </c>
      <c r="D146" s="3">
        <v>92361.98</v>
      </c>
    </row>
    <row r="147" spans="3:4" x14ac:dyDescent="0.3">
      <c r="C147" s="2">
        <v>43</v>
      </c>
      <c r="D147" s="3">
        <v>92361.98</v>
      </c>
    </row>
    <row r="148" spans="3:4" x14ac:dyDescent="0.3">
      <c r="C148" s="2">
        <v>44</v>
      </c>
      <c r="D148" s="3">
        <v>92361.98</v>
      </c>
    </row>
    <row r="149" spans="3:4" x14ac:dyDescent="0.3">
      <c r="C149" s="2">
        <v>45</v>
      </c>
      <c r="D149" s="3">
        <v>92361.98</v>
      </c>
    </row>
    <row r="150" spans="3:4" x14ac:dyDescent="0.3">
      <c r="C150" s="2">
        <v>46</v>
      </c>
      <c r="D150" s="3">
        <v>92361.98</v>
      </c>
    </row>
    <row r="151" spans="3:4" x14ac:dyDescent="0.3">
      <c r="C151" s="2">
        <v>47</v>
      </c>
      <c r="D151" s="3">
        <v>92361.98</v>
      </c>
    </row>
    <row r="152" spans="3:4" x14ac:dyDescent="0.3">
      <c r="C152" s="2">
        <v>48</v>
      </c>
      <c r="D152" s="3">
        <v>92361.98</v>
      </c>
    </row>
    <row r="153" spans="3:4" x14ac:dyDescent="0.3">
      <c r="C153" s="2">
        <v>49</v>
      </c>
      <c r="D153" s="3">
        <v>92361.98</v>
      </c>
    </row>
    <row r="154" spans="3:4" x14ac:dyDescent="0.3">
      <c r="C154" s="2">
        <v>50</v>
      </c>
      <c r="D154" s="3">
        <v>92361.98</v>
      </c>
    </row>
    <row r="155" spans="3:4" x14ac:dyDescent="0.3">
      <c r="C155" s="2">
        <v>51</v>
      </c>
      <c r="D155" s="3">
        <v>92361.98</v>
      </c>
    </row>
    <row r="156" spans="3:4" x14ac:dyDescent="0.3">
      <c r="C156" s="2">
        <v>52</v>
      </c>
      <c r="D156" s="3">
        <v>92361.98</v>
      </c>
    </row>
    <row r="157" spans="3:4" x14ac:dyDescent="0.3">
      <c r="C157" s="2">
        <v>53</v>
      </c>
      <c r="D157" s="3">
        <v>92361.98</v>
      </c>
    </row>
    <row r="158" spans="3:4" x14ac:dyDescent="0.3">
      <c r="C158" s="2">
        <v>54</v>
      </c>
      <c r="D158" s="3">
        <v>92361.98</v>
      </c>
    </row>
    <row r="159" spans="3:4" x14ac:dyDescent="0.3">
      <c r="C159" s="2">
        <v>55</v>
      </c>
      <c r="D159" s="3">
        <v>92361.98</v>
      </c>
    </row>
    <row r="160" spans="3:4" x14ac:dyDescent="0.3">
      <c r="C160" s="2">
        <v>56</v>
      </c>
      <c r="D160" s="3">
        <v>92361.98</v>
      </c>
    </row>
    <row r="161" spans="3:4" x14ac:dyDescent="0.3">
      <c r="C161" s="2">
        <v>57</v>
      </c>
      <c r="D161" s="3">
        <v>92361.98</v>
      </c>
    </row>
    <row r="162" spans="3:4" x14ac:dyDescent="0.3">
      <c r="C162" s="2">
        <v>58</v>
      </c>
      <c r="D162" s="3">
        <v>92361.98</v>
      </c>
    </row>
    <row r="163" spans="3:4" x14ac:dyDescent="0.3">
      <c r="C163" s="2">
        <v>59</v>
      </c>
      <c r="D163" s="3">
        <v>92361.98</v>
      </c>
    </row>
    <row r="164" spans="3:4" x14ac:dyDescent="0.3">
      <c r="C164" s="2">
        <v>60</v>
      </c>
      <c r="D164" s="3">
        <v>92361.98</v>
      </c>
    </row>
    <row r="165" spans="3:4" x14ac:dyDescent="0.3">
      <c r="C165" s="2">
        <v>61</v>
      </c>
      <c r="D165" s="3">
        <v>92361.98</v>
      </c>
    </row>
    <row r="166" spans="3:4" x14ac:dyDescent="0.3">
      <c r="C166" s="2">
        <v>62</v>
      </c>
      <c r="D166" s="3">
        <v>92361.98</v>
      </c>
    </row>
    <row r="167" spans="3:4" x14ac:dyDescent="0.3">
      <c r="C167" s="2">
        <v>63</v>
      </c>
      <c r="D167" s="3">
        <v>92361.98</v>
      </c>
    </row>
    <row r="168" spans="3:4" x14ac:dyDescent="0.3">
      <c r="C168" s="2">
        <v>64</v>
      </c>
      <c r="D168" s="3">
        <v>92361.98</v>
      </c>
    </row>
    <row r="169" spans="3:4" x14ac:dyDescent="0.3">
      <c r="C169" s="2">
        <v>65</v>
      </c>
      <c r="D169" s="3">
        <v>92361.98</v>
      </c>
    </row>
    <row r="170" spans="3:4" x14ac:dyDescent="0.3">
      <c r="C170" s="2">
        <v>66</v>
      </c>
      <c r="D170" s="3">
        <v>92361.98</v>
      </c>
    </row>
    <row r="171" spans="3:4" x14ac:dyDescent="0.3">
      <c r="C171" s="2">
        <v>67</v>
      </c>
      <c r="D171" s="3">
        <v>92361.98</v>
      </c>
    </row>
    <row r="172" spans="3:4" x14ac:dyDescent="0.3">
      <c r="C172" s="2">
        <v>68</v>
      </c>
      <c r="D172" s="3">
        <v>92361.98</v>
      </c>
    </row>
    <row r="173" spans="3:4" x14ac:dyDescent="0.3">
      <c r="C173" s="2">
        <v>69</v>
      </c>
      <c r="D173" s="3">
        <v>92361.98</v>
      </c>
    </row>
    <row r="174" spans="3:4" x14ac:dyDescent="0.3">
      <c r="C174" s="2">
        <v>70</v>
      </c>
      <c r="D174" s="3">
        <v>92361.98</v>
      </c>
    </row>
    <row r="175" spans="3:4" x14ac:dyDescent="0.3">
      <c r="C175" s="2">
        <v>71</v>
      </c>
      <c r="D175" s="3">
        <v>92361.98</v>
      </c>
    </row>
    <row r="176" spans="3:4" x14ac:dyDescent="0.3">
      <c r="C176" s="2">
        <v>72</v>
      </c>
      <c r="D176" s="3">
        <v>92361.98</v>
      </c>
    </row>
    <row r="177" spans="3:4" x14ac:dyDescent="0.3">
      <c r="C177" s="2">
        <v>73</v>
      </c>
      <c r="D177" s="3">
        <v>92361.98</v>
      </c>
    </row>
    <row r="178" spans="3:4" x14ac:dyDescent="0.3">
      <c r="C178" s="2">
        <v>74</v>
      </c>
      <c r="D178" s="3">
        <v>92361.98</v>
      </c>
    </row>
    <row r="179" spans="3:4" x14ac:dyDescent="0.3">
      <c r="C179" s="2">
        <v>75</v>
      </c>
      <c r="D179" s="3">
        <v>92361.98</v>
      </c>
    </row>
    <row r="180" spans="3:4" x14ac:dyDescent="0.3">
      <c r="C180" s="2">
        <v>76</v>
      </c>
      <c r="D180" s="3">
        <v>92361.98</v>
      </c>
    </row>
    <row r="181" spans="3:4" x14ac:dyDescent="0.3">
      <c r="C181" s="2">
        <v>77</v>
      </c>
      <c r="D181" s="3">
        <v>92361.98</v>
      </c>
    </row>
    <row r="182" spans="3:4" x14ac:dyDescent="0.3">
      <c r="C182" s="2">
        <v>78</v>
      </c>
      <c r="D182" s="3">
        <v>92361.98</v>
      </c>
    </row>
    <row r="183" spans="3:4" x14ac:dyDescent="0.3">
      <c r="C183" s="2">
        <v>79</v>
      </c>
      <c r="D183" s="3">
        <v>92361.98</v>
      </c>
    </row>
    <row r="184" spans="3:4" x14ac:dyDescent="0.3">
      <c r="C184" s="2">
        <v>80</v>
      </c>
      <c r="D184" s="3">
        <v>92361.98</v>
      </c>
    </row>
    <row r="185" spans="3:4" x14ac:dyDescent="0.3">
      <c r="C185" s="2">
        <v>81</v>
      </c>
      <c r="D185" s="3">
        <v>92361.98</v>
      </c>
    </row>
    <row r="186" spans="3:4" x14ac:dyDescent="0.3">
      <c r="C186" s="2">
        <v>82</v>
      </c>
      <c r="D186" s="3">
        <v>92361.98</v>
      </c>
    </row>
    <row r="187" spans="3:4" x14ac:dyDescent="0.3">
      <c r="C187" s="2">
        <v>83</v>
      </c>
      <c r="D187" s="3">
        <v>92361.98</v>
      </c>
    </row>
    <row r="188" spans="3:4" x14ac:dyDescent="0.3">
      <c r="C188" s="2">
        <v>84</v>
      </c>
      <c r="D188" s="3">
        <v>92361.98</v>
      </c>
    </row>
    <row r="189" spans="3:4" x14ac:dyDescent="0.3">
      <c r="C189" s="2">
        <v>85</v>
      </c>
      <c r="D189" s="3">
        <v>92361.98</v>
      </c>
    </row>
    <row r="190" spans="3:4" x14ac:dyDescent="0.3">
      <c r="C190" s="2">
        <v>86</v>
      </c>
      <c r="D190" s="3">
        <v>92361.98</v>
      </c>
    </row>
    <row r="191" spans="3:4" x14ac:dyDescent="0.3">
      <c r="C191" s="2">
        <v>87</v>
      </c>
      <c r="D191" s="3">
        <v>92361.98</v>
      </c>
    </row>
    <row r="192" spans="3:4" x14ac:dyDescent="0.3">
      <c r="C192" s="2">
        <v>88</v>
      </c>
      <c r="D192" s="3">
        <v>92361.98</v>
      </c>
    </row>
    <row r="193" spans="3:4" x14ac:dyDescent="0.3">
      <c r="C193" s="2">
        <v>89</v>
      </c>
      <c r="D193" s="3">
        <v>92361.98</v>
      </c>
    </row>
    <row r="194" spans="3:4" x14ac:dyDescent="0.3">
      <c r="C194" s="2">
        <v>90</v>
      </c>
      <c r="D194" s="3">
        <v>92361.98</v>
      </c>
    </row>
    <row r="195" spans="3:4" x14ac:dyDescent="0.3">
      <c r="C195" s="2">
        <v>91</v>
      </c>
      <c r="D195" s="3">
        <v>92361.98</v>
      </c>
    </row>
    <row r="196" spans="3:4" x14ac:dyDescent="0.3">
      <c r="C196" s="2">
        <v>92</v>
      </c>
      <c r="D196" s="3">
        <v>92361.98</v>
      </c>
    </row>
    <row r="197" spans="3:4" x14ac:dyDescent="0.3">
      <c r="C197" s="2">
        <v>93</v>
      </c>
      <c r="D197" s="3">
        <v>92361.98</v>
      </c>
    </row>
    <row r="198" spans="3:4" x14ac:dyDescent="0.3">
      <c r="C198" s="2">
        <v>94</v>
      </c>
      <c r="D198" s="3">
        <v>92361.98</v>
      </c>
    </row>
    <row r="199" spans="3:4" x14ac:dyDescent="0.3">
      <c r="C199" s="2">
        <v>95</v>
      </c>
      <c r="D199" s="3">
        <v>92361.98</v>
      </c>
    </row>
    <row r="200" spans="3:4" x14ac:dyDescent="0.3">
      <c r="C200" s="2">
        <v>96</v>
      </c>
      <c r="D200" s="3">
        <v>92361.98</v>
      </c>
    </row>
    <row r="201" spans="3:4" x14ac:dyDescent="0.3">
      <c r="C201" s="2">
        <v>97</v>
      </c>
      <c r="D201" s="3">
        <v>92361.98</v>
      </c>
    </row>
    <row r="202" spans="3:4" x14ac:dyDescent="0.3">
      <c r="C202" s="2">
        <v>98</v>
      </c>
      <c r="D202" s="3">
        <v>92361.98</v>
      </c>
    </row>
    <row r="203" spans="3:4" x14ac:dyDescent="0.3">
      <c r="C203" s="2">
        <v>99</v>
      </c>
      <c r="D203" s="3">
        <v>92361.98</v>
      </c>
    </row>
    <row r="204" spans="3:4" x14ac:dyDescent="0.3">
      <c r="C204" s="2">
        <v>100</v>
      </c>
      <c r="D204" s="3">
        <v>92361.98</v>
      </c>
    </row>
    <row r="205" spans="3:4" x14ac:dyDescent="0.3">
      <c r="C205" s="2" t="s">
        <v>118</v>
      </c>
      <c r="D205" s="3">
        <v>9236198.0000000242</v>
      </c>
    </row>
  </sheetData>
  <conditionalFormatting pivot="1" sqref="C40:C44">
    <cfRule type="colorScale" priority="1">
      <colorScale>
        <cfvo type="min"/>
        <cfvo type="percentile" val="50"/>
        <cfvo type="max"/>
        <color rgb="FFF8696B"/>
        <color rgb="FFFFEB84"/>
        <color rgb="FF63BE7B"/>
      </colorScale>
    </cfRule>
  </conditionalFormatting>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opLeftCell="A2" workbookViewId="0">
      <selection activeCell="I3" sqref="I3"/>
    </sheetView>
  </sheetViews>
  <sheetFormatPr defaultRowHeight="14.4" x14ac:dyDescent="0.3"/>
  <cols>
    <col min="1" max="1" width="11.77734375" customWidth="1"/>
    <col min="2" max="2" width="12.109375" customWidth="1"/>
    <col min="3" max="3" width="11.77734375" customWidth="1"/>
    <col min="4" max="4" width="10.21875" customWidth="1"/>
    <col min="5" max="5" width="10.5546875" customWidth="1"/>
    <col min="6" max="6" width="13.6640625" customWidth="1"/>
    <col min="7" max="7" width="11.109375" customWidth="1"/>
    <col min="9" max="9" width="16.5546875" customWidth="1"/>
  </cols>
  <sheetData>
    <row r="1" spans="1:9" x14ac:dyDescent="0.3">
      <c r="A1" t="s">
        <v>0</v>
      </c>
      <c r="B1" t="s">
        <v>1</v>
      </c>
      <c r="C1" t="s">
        <v>2</v>
      </c>
      <c r="D1" t="s">
        <v>3</v>
      </c>
      <c r="E1" t="s">
        <v>4</v>
      </c>
      <c r="F1" t="s">
        <v>5</v>
      </c>
      <c r="G1" t="s">
        <v>6</v>
      </c>
      <c r="H1" t="s">
        <v>124</v>
      </c>
      <c r="I1" t="s">
        <v>125</v>
      </c>
    </row>
    <row r="2" spans="1:9" x14ac:dyDescent="0.3">
      <c r="A2">
        <v>1</v>
      </c>
      <c r="B2" t="s">
        <v>7</v>
      </c>
      <c r="C2" t="s">
        <v>8</v>
      </c>
      <c r="D2">
        <v>5</v>
      </c>
      <c r="E2">
        <v>25097</v>
      </c>
      <c r="F2">
        <v>125485</v>
      </c>
      <c r="G2" t="s">
        <v>9</v>
      </c>
      <c r="H2" t="str">
        <f>TEXT(Table1[[#This Row],[Date]],"mmm")</f>
        <v>Jan</v>
      </c>
      <c r="I2">
        <f>AVERAGE(Table1[TotalSales])</f>
        <v>92361.98</v>
      </c>
    </row>
    <row r="3" spans="1:9" x14ac:dyDescent="0.3">
      <c r="A3">
        <v>2</v>
      </c>
      <c r="B3" t="s">
        <v>10</v>
      </c>
      <c r="C3" t="s">
        <v>11</v>
      </c>
      <c r="D3">
        <v>3</v>
      </c>
      <c r="E3">
        <v>55822</v>
      </c>
      <c r="F3">
        <v>167466</v>
      </c>
      <c r="G3" t="s">
        <v>12</v>
      </c>
      <c r="H3" t="str">
        <f>TEXT(Table1[[#This Row],[Date]],"mmm")</f>
        <v>Jan</v>
      </c>
      <c r="I3">
        <f>AVERAGE(Table1[TotalSales])</f>
        <v>92361.98</v>
      </c>
    </row>
    <row r="4" spans="1:9" x14ac:dyDescent="0.3">
      <c r="A4">
        <v>3</v>
      </c>
      <c r="B4" t="s">
        <v>13</v>
      </c>
      <c r="C4" t="s">
        <v>8</v>
      </c>
      <c r="D4">
        <v>5</v>
      </c>
      <c r="E4">
        <v>10165</v>
      </c>
      <c r="F4">
        <v>50825</v>
      </c>
      <c r="G4" t="s">
        <v>14</v>
      </c>
      <c r="H4" t="str">
        <f>TEXT(Table1[[#This Row],[Date]],"mmm")</f>
        <v>Jan</v>
      </c>
      <c r="I4">
        <f>AVERAGE(Table1[TotalSales])</f>
        <v>92361.98</v>
      </c>
    </row>
    <row r="5" spans="1:9" x14ac:dyDescent="0.3">
      <c r="A5">
        <v>4</v>
      </c>
      <c r="B5" t="s">
        <v>15</v>
      </c>
      <c r="C5" t="s">
        <v>8</v>
      </c>
      <c r="D5">
        <v>1</v>
      </c>
      <c r="E5">
        <v>31951</v>
      </c>
      <c r="F5">
        <v>31951</v>
      </c>
      <c r="G5" t="s">
        <v>16</v>
      </c>
      <c r="H5" t="str">
        <f>TEXT(Table1[[#This Row],[Date]],"mmm")</f>
        <v>Jan</v>
      </c>
      <c r="I5">
        <f>AVERAGE(Table1[TotalSales])</f>
        <v>92361.98</v>
      </c>
    </row>
    <row r="6" spans="1:9" x14ac:dyDescent="0.3">
      <c r="A6">
        <v>5</v>
      </c>
      <c r="B6" t="s">
        <v>17</v>
      </c>
      <c r="C6" t="s">
        <v>8</v>
      </c>
      <c r="D6">
        <v>4</v>
      </c>
      <c r="E6">
        <v>55658</v>
      </c>
      <c r="F6">
        <v>222632</v>
      </c>
      <c r="G6" t="s">
        <v>9</v>
      </c>
      <c r="H6" t="str">
        <f>TEXT(Table1[[#This Row],[Date]],"mmm")</f>
        <v>Jan</v>
      </c>
      <c r="I6">
        <f>AVERAGE(Table1[TotalSales])</f>
        <v>92361.98</v>
      </c>
    </row>
    <row r="7" spans="1:9" x14ac:dyDescent="0.3">
      <c r="A7">
        <v>6</v>
      </c>
      <c r="B7" t="s">
        <v>18</v>
      </c>
      <c r="C7" t="s">
        <v>11</v>
      </c>
      <c r="D7">
        <v>1</v>
      </c>
      <c r="E7">
        <v>32650</v>
      </c>
      <c r="F7">
        <v>32650</v>
      </c>
      <c r="G7" t="s">
        <v>16</v>
      </c>
      <c r="H7" t="str">
        <f>TEXT(Table1[[#This Row],[Date]],"mmm")</f>
        <v>Jan</v>
      </c>
      <c r="I7">
        <f>AVERAGE(Table1[TotalSales])</f>
        <v>92361.98</v>
      </c>
    </row>
    <row r="8" spans="1:9" x14ac:dyDescent="0.3">
      <c r="A8">
        <v>7</v>
      </c>
      <c r="B8" t="s">
        <v>19</v>
      </c>
      <c r="C8" t="s">
        <v>20</v>
      </c>
      <c r="D8">
        <v>1</v>
      </c>
      <c r="E8">
        <v>58692</v>
      </c>
      <c r="F8">
        <v>58692</v>
      </c>
      <c r="G8" t="s">
        <v>14</v>
      </c>
      <c r="H8" t="str">
        <f>TEXT(Table1[[#This Row],[Date]],"mmm")</f>
        <v>Jan</v>
      </c>
      <c r="I8">
        <f>AVERAGE(Table1[TotalSales])</f>
        <v>92361.98</v>
      </c>
    </row>
    <row r="9" spans="1:9" x14ac:dyDescent="0.3">
      <c r="A9">
        <v>8</v>
      </c>
      <c r="B9" t="s">
        <v>21</v>
      </c>
      <c r="C9" t="s">
        <v>22</v>
      </c>
      <c r="D9">
        <v>5</v>
      </c>
      <c r="E9">
        <v>55318</v>
      </c>
      <c r="F9">
        <v>276590</v>
      </c>
      <c r="G9" t="s">
        <v>16</v>
      </c>
      <c r="H9" t="str">
        <f>TEXT(Table1[[#This Row],[Date]],"mmm")</f>
        <v>Jan</v>
      </c>
      <c r="I9">
        <f>AVERAGE(Table1[TotalSales])</f>
        <v>92361.98</v>
      </c>
    </row>
    <row r="10" spans="1:9" x14ac:dyDescent="0.3">
      <c r="A10">
        <v>9</v>
      </c>
      <c r="B10" t="s">
        <v>23</v>
      </c>
      <c r="C10" t="s">
        <v>8</v>
      </c>
      <c r="D10">
        <v>2</v>
      </c>
      <c r="E10">
        <v>17991</v>
      </c>
      <c r="F10">
        <v>35982</v>
      </c>
      <c r="G10" t="s">
        <v>16</v>
      </c>
      <c r="H10" t="str">
        <f>TEXT(Table1[[#This Row],[Date]],"mmm")</f>
        <v>Jan</v>
      </c>
      <c r="I10">
        <f>AVERAGE(Table1[TotalSales])</f>
        <v>92361.98</v>
      </c>
    </row>
    <row r="11" spans="1:9" x14ac:dyDescent="0.3">
      <c r="A11">
        <v>10</v>
      </c>
      <c r="B11" t="s">
        <v>24</v>
      </c>
      <c r="C11" t="s">
        <v>20</v>
      </c>
      <c r="D11">
        <v>2</v>
      </c>
      <c r="E11">
        <v>6434</v>
      </c>
      <c r="F11">
        <v>12868</v>
      </c>
      <c r="G11" t="s">
        <v>12</v>
      </c>
      <c r="H11" t="str">
        <f>TEXT(Table1[[#This Row],[Date]],"mmm")</f>
        <v>Jan</v>
      </c>
      <c r="I11">
        <f>AVERAGE(Table1[TotalSales])</f>
        <v>92361.98</v>
      </c>
    </row>
    <row r="12" spans="1:9" x14ac:dyDescent="0.3">
      <c r="A12">
        <v>11</v>
      </c>
      <c r="B12" t="s">
        <v>25</v>
      </c>
      <c r="C12" t="s">
        <v>11</v>
      </c>
      <c r="D12">
        <v>2</v>
      </c>
      <c r="E12">
        <v>56566</v>
      </c>
      <c r="F12">
        <v>113132</v>
      </c>
      <c r="G12" t="s">
        <v>14</v>
      </c>
      <c r="H12" t="str">
        <f>TEXT(Table1[[#This Row],[Date]],"mmm")</f>
        <v>Jan</v>
      </c>
      <c r="I12">
        <f>AVERAGE(Table1[TotalSales])</f>
        <v>92361.98</v>
      </c>
    </row>
    <row r="13" spans="1:9" x14ac:dyDescent="0.3">
      <c r="A13">
        <v>12</v>
      </c>
      <c r="B13" t="s">
        <v>26</v>
      </c>
      <c r="C13" t="s">
        <v>27</v>
      </c>
      <c r="D13">
        <v>2</v>
      </c>
      <c r="E13">
        <v>20620</v>
      </c>
      <c r="F13">
        <v>41240</v>
      </c>
      <c r="G13" t="s">
        <v>16</v>
      </c>
      <c r="H13" t="str">
        <f>TEXT(Table1[[#This Row],[Date]],"mmm")</f>
        <v>Jan</v>
      </c>
      <c r="I13">
        <f>AVERAGE(Table1[TotalSales])</f>
        <v>92361.98</v>
      </c>
    </row>
    <row r="14" spans="1:9" x14ac:dyDescent="0.3">
      <c r="A14">
        <v>13</v>
      </c>
      <c r="B14" t="s">
        <v>28</v>
      </c>
      <c r="C14" t="s">
        <v>11</v>
      </c>
      <c r="D14">
        <v>1</v>
      </c>
      <c r="E14">
        <v>40177</v>
      </c>
      <c r="F14">
        <v>40177</v>
      </c>
      <c r="G14" t="s">
        <v>14</v>
      </c>
      <c r="H14" t="str">
        <f>TEXT(Table1[[#This Row],[Date]],"mmm")</f>
        <v>Jan</v>
      </c>
      <c r="I14">
        <f>AVERAGE(Table1[TotalSales])</f>
        <v>92361.98</v>
      </c>
    </row>
    <row r="15" spans="1:9" x14ac:dyDescent="0.3">
      <c r="A15">
        <v>14</v>
      </c>
      <c r="B15" t="s">
        <v>29</v>
      </c>
      <c r="C15" t="s">
        <v>8</v>
      </c>
      <c r="D15">
        <v>2</v>
      </c>
      <c r="E15">
        <v>57569</v>
      </c>
      <c r="F15">
        <v>115138</v>
      </c>
      <c r="G15" t="s">
        <v>12</v>
      </c>
      <c r="H15" t="str">
        <f>TEXT(Table1[[#This Row],[Date]],"mmm")</f>
        <v>Jan</v>
      </c>
      <c r="I15">
        <f>AVERAGE(Table1[TotalSales])</f>
        <v>92361.98</v>
      </c>
    </row>
    <row r="16" spans="1:9" x14ac:dyDescent="0.3">
      <c r="A16">
        <v>15</v>
      </c>
      <c r="B16" t="s">
        <v>30</v>
      </c>
      <c r="C16" t="s">
        <v>22</v>
      </c>
      <c r="D16">
        <v>3</v>
      </c>
      <c r="E16">
        <v>20378</v>
      </c>
      <c r="F16">
        <v>61134</v>
      </c>
      <c r="G16" t="s">
        <v>9</v>
      </c>
      <c r="H16" t="str">
        <f>TEXT(Table1[[#This Row],[Date]],"mmm")</f>
        <v>Jan</v>
      </c>
      <c r="I16">
        <f>AVERAGE(Table1[TotalSales])</f>
        <v>92361.98</v>
      </c>
    </row>
    <row r="17" spans="1:9" x14ac:dyDescent="0.3">
      <c r="A17">
        <v>16</v>
      </c>
      <c r="B17" t="s">
        <v>31</v>
      </c>
      <c r="C17" t="s">
        <v>11</v>
      </c>
      <c r="D17">
        <v>3</v>
      </c>
      <c r="E17">
        <v>30738</v>
      </c>
      <c r="F17">
        <v>92214</v>
      </c>
      <c r="G17" t="s">
        <v>16</v>
      </c>
      <c r="H17" t="str">
        <f>TEXT(Table1[[#This Row],[Date]],"mmm")</f>
        <v>Jan</v>
      </c>
      <c r="I17">
        <f>AVERAGE(Table1[TotalSales])</f>
        <v>92361.98</v>
      </c>
    </row>
    <row r="18" spans="1:9" x14ac:dyDescent="0.3">
      <c r="A18">
        <v>17</v>
      </c>
      <c r="B18" t="s">
        <v>32</v>
      </c>
      <c r="C18" t="s">
        <v>27</v>
      </c>
      <c r="D18">
        <v>4</v>
      </c>
      <c r="E18">
        <v>29625</v>
      </c>
      <c r="F18">
        <v>118500</v>
      </c>
      <c r="G18" t="s">
        <v>12</v>
      </c>
      <c r="H18" t="str">
        <f>TEXT(Table1[[#This Row],[Date]],"mmm")</f>
        <v>Jan</v>
      </c>
      <c r="I18">
        <f>AVERAGE(Table1[TotalSales])</f>
        <v>92361.98</v>
      </c>
    </row>
    <row r="19" spans="1:9" x14ac:dyDescent="0.3">
      <c r="A19">
        <v>18</v>
      </c>
      <c r="B19" t="s">
        <v>33</v>
      </c>
      <c r="C19" t="s">
        <v>22</v>
      </c>
      <c r="D19">
        <v>2</v>
      </c>
      <c r="E19">
        <v>51988</v>
      </c>
      <c r="F19">
        <v>103976</v>
      </c>
      <c r="G19" t="s">
        <v>12</v>
      </c>
      <c r="H19" t="str">
        <f>TEXT(Table1[[#This Row],[Date]],"mmm")</f>
        <v>Jan</v>
      </c>
      <c r="I19">
        <f>AVERAGE(Table1[TotalSales])</f>
        <v>92361.98</v>
      </c>
    </row>
    <row r="20" spans="1:9" x14ac:dyDescent="0.3">
      <c r="A20">
        <v>19</v>
      </c>
      <c r="B20" t="s">
        <v>34</v>
      </c>
      <c r="C20" t="s">
        <v>22</v>
      </c>
      <c r="D20">
        <v>3</v>
      </c>
      <c r="E20">
        <v>14652</v>
      </c>
      <c r="F20">
        <v>43956</v>
      </c>
      <c r="G20" t="s">
        <v>12</v>
      </c>
      <c r="H20" t="str">
        <f>TEXT(Table1[[#This Row],[Date]],"mmm")</f>
        <v>Jan</v>
      </c>
      <c r="I20">
        <f>AVERAGE(Table1[TotalSales])</f>
        <v>92361.98</v>
      </c>
    </row>
    <row r="21" spans="1:9" x14ac:dyDescent="0.3">
      <c r="A21">
        <v>20</v>
      </c>
      <c r="B21" t="s">
        <v>35</v>
      </c>
      <c r="C21" t="s">
        <v>8</v>
      </c>
      <c r="D21">
        <v>3</v>
      </c>
      <c r="E21">
        <v>53176</v>
      </c>
      <c r="F21">
        <v>159528</v>
      </c>
      <c r="G21" t="s">
        <v>16</v>
      </c>
      <c r="H21" t="str">
        <f>TEXT(Table1[[#This Row],[Date]],"mmm")</f>
        <v>Jan</v>
      </c>
      <c r="I21">
        <f>AVERAGE(Table1[TotalSales])</f>
        <v>92361.98</v>
      </c>
    </row>
    <row r="22" spans="1:9" x14ac:dyDescent="0.3">
      <c r="A22">
        <v>21</v>
      </c>
      <c r="B22" t="s">
        <v>36</v>
      </c>
      <c r="C22" t="s">
        <v>27</v>
      </c>
      <c r="D22">
        <v>1</v>
      </c>
      <c r="E22">
        <v>35268</v>
      </c>
      <c r="F22">
        <v>35268</v>
      </c>
      <c r="G22" t="s">
        <v>16</v>
      </c>
      <c r="H22" t="str">
        <f>TEXT(Table1[[#This Row],[Date]],"mmm")</f>
        <v>Jan</v>
      </c>
      <c r="I22">
        <f>AVERAGE(Table1[TotalSales])</f>
        <v>92361.98</v>
      </c>
    </row>
    <row r="23" spans="1:9" x14ac:dyDescent="0.3">
      <c r="A23">
        <v>22</v>
      </c>
      <c r="B23" t="s">
        <v>37</v>
      </c>
      <c r="C23" t="s">
        <v>27</v>
      </c>
      <c r="D23">
        <v>3</v>
      </c>
      <c r="E23">
        <v>16002</v>
      </c>
      <c r="F23">
        <v>48006</v>
      </c>
      <c r="G23" t="s">
        <v>14</v>
      </c>
      <c r="H23" t="str">
        <f>TEXT(Table1[[#This Row],[Date]],"mmm")</f>
        <v>Jan</v>
      </c>
      <c r="I23">
        <f>AVERAGE(Table1[TotalSales])</f>
        <v>92361.98</v>
      </c>
    </row>
    <row r="24" spans="1:9" x14ac:dyDescent="0.3">
      <c r="A24">
        <v>23</v>
      </c>
      <c r="B24" t="s">
        <v>38</v>
      </c>
      <c r="C24" t="s">
        <v>22</v>
      </c>
      <c r="D24">
        <v>4</v>
      </c>
      <c r="E24">
        <v>19843</v>
      </c>
      <c r="F24">
        <v>79372</v>
      </c>
      <c r="G24" t="s">
        <v>14</v>
      </c>
      <c r="H24" t="str">
        <f>TEXT(Table1[[#This Row],[Date]],"mmm")</f>
        <v>Jan</v>
      </c>
      <c r="I24">
        <f>AVERAGE(Table1[TotalSales])</f>
        <v>92361.98</v>
      </c>
    </row>
    <row r="25" spans="1:9" x14ac:dyDescent="0.3">
      <c r="A25">
        <v>24</v>
      </c>
      <c r="B25" t="s">
        <v>39</v>
      </c>
      <c r="C25" t="s">
        <v>8</v>
      </c>
      <c r="D25">
        <v>3</v>
      </c>
      <c r="E25">
        <v>58777</v>
      </c>
      <c r="F25">
        <v>176331</v>
      </c>
      <c r="G25" t="s">
        <v>16</v>
      </c>
      <c r="H25" t="str">
        <f>TEXT(Table1[[#This Row],[Date]],"mmm")</f>
        <v>Jan</v>
      </c>
      <c r="I25">
        <f>AVERAGE(Table1[TotalSales])</f>
        <v>92361.98</v>
      </c>
    </row>
    <row r="26" spans="1:9" x14ac:dyDescent="0.3">
      <c r="A26">
        <v>25</v>
      </c>
      <c r="B26" t="s">
        <v>40</v>
      </c>
      <c r="C26" t="s">
        <v>27</v>
      </c>
      <c r="D26">
        <v>5</v>
      </c>
      <c r="E26">
        <v>17872</v>
      </c>
      <c r="F26">
        <v>89360</v>
      </c>
      <c r="G26" t="s">
        <v>9</v>
      </c>
      <c r="H26" t="str">
        <f>TEXT(Table1[[#This Row],[Date]],"mmm")</f>
        <v>Jan</v>
      </c>
      <c r="I26">
        <f>AVERAGE(Table1[TotalSales])</f>
        <v>92361.98</v>
      </c>
    </row>
    <row r="27" spans="1:9" x14ac:dyDescent="0.3">
      <c r="A27">
        <v>26</v>
      </c>
      <c r="B27" t="s">
        <v>41</v>
      </c>
      <c r="C27" t="s">
        <v>27</v>
      </c>
      <c r="D27">
        <v>2</v>
      </c>
      <c r="E27">
        <v>27519</v>
      </c>
      <c r="F27">
        <v>55038</v>
      </c>
      <c r="G27" t="s">
        <v>9</v>
      </c>
      <c r="H27" t="str">
        <f>TEXT(Table1[[#This Row],[Date]],"mmm")</f>
        <v>Jan</v>
      </c>
      <c r="I27">
        <f>AVERAGE(Table1[TotalSales])</f>
        <v>92361.98</v>
      </c>
    </row>
    <row r="28" spans="1:9" x14ac:dyDescent="0.3">
      <c r="A28">
        <v>27</v>
      </c>
      <c r="B28" t="s">
        <v>42</v>
      </c>
      <c r="C28" t="s">
        <v>11</v>
      </c>
      <c r="D28">
        <v>1</v>
      </c>
      <c r="E28">
        <v>9185</v>
      </c>
      <c r="F28">
        <v>9185</v>
      </c>
      <c r="G28" t="s">
        <v>12</v>
      </c>
      <c r="H28" t="str">
        <f>TEXT(Table1[[#This Row],[Date]],"mmm")</f>
        <v>Jan</v>
      </c>
      <c r="I28">
        <f>AVERAGE(Table1[TotalSales])</f>
        <v>92361.98</v>
      </c>
    </row>
    <row r="29" spans="1:9" x14ac:dyDescent="0.3">
      <c r="A29">
        <v>28</v>
      </c>
      <c r="B29" t="s">
        <v>43</v>
      </c>
      <c r="C29" t="s">
        <v>11</v>
      </c>
      <c r="D29">
        <v>3</v>
      </c>
      <c r="E29">
        <v>32044</v>
      </c>
      <c r="F29">
        <v>96132</v>
      </c>
      <c r="G29" t="s">
        <v>16</v>
      </c>
      <c r="H29" t="str">
        <f>TEXT(Table1[[#This Row],[Date]],"mmm")</f>
        <v>Jan</v>
      </c>
      <c r="I29">
        <f>AVERAGE(Table1[TotalSales])</f>
        <v>92361.98</v>
      </c>
    </row>
    <row r="30" spans="1:9" x14ac:dyDescent="0.3">
      <c r="A30">
        <v>29</v>
      </c>
      <c r="B30" t="s">
        <v>44</v>
      </c>
      <c r="C30" t="s">
        <v>20</v>
      </c>
      <c r="D30">
        <v>3</v>
      </c>
      <c r="E30">
        <v>55614</v>
      </c>
      <c r="F30">
        <v>166842</v>
      </c>
      <c r="G30" t="s">
        <v>14</v>
      </c>
      <c r="H30" t="str">
        <f>TEXT(Table1[[#This Row],[Date]],"mmm")</f>
        <v>Jan</v>
      </c>
      <c r="I30">
        <f>AVERAGE(Table1[TotalSales])</f>
        <v>92361.98</v>
      </c>
    </row>
    <row r="31" spans="1:9" x14ac:dyDescent="0.3">
      <c r="A31">
        <v>30</v>
      </c>
      <c r="B31" t="s">
        <v>45</v>
      </c>
      <c r="C31" t="s">
        <v>8</v>
      </c>
      <c r="D31">
        <v>1</v>
      </c>
      <c r="E31">
        <v>24874</v>
      </c>
      <c r="F31">
        <v>24874</v>
      </c>
      <c r="G31" t="s">
        <v>12</v>
      </c>
      <c r="H31" t="str">
        <f>TEXT(Table1[[#This Row],[Date]],"mmm")</f>
        <v>Jan</v>
      </c>
      <c r="I31">
        <f>AVERAGE(Table1[TotalSales])</f>
        <v>92361.98</v>
      </c>
    </row>
    <row r="32" spans="1:9" x14ac:dyDescent="0.3">
      <c r="A32">
        <v>31</v>
      </c>
      <c r="B32" t="s">
        <v>46</v>
      </c>
      <c r="C32" t="s">
        <v>8</v>
      </c>
      <c r="D32">
        <v>5</v>
      </c>
      <c r="E32">
        <v>12292</v>
      </c>
      <c r="F32">
        <v>61460</v>
      </c>
      <c r="G32" t="s">
        <v>12</v>
      </c>
      <c r="H32" t="str">
        <f>TEXT(Table1[[#This Row],[Date]],"mmm")</f>
        <v>Feb</v>
      </c>
      <c r="I32">
        <f>AVERAGE(Table1[TotalSales])</f>
        <v>92361.98</v>
      </c>
    </row>
    <row r="33" spans="1:9" x14ac:dyDescent="0.3">
      <c r="A33">
        <v>32</v>
      </c>
      <c r="B33" t="s">
        <v>47</v>
      </c>
      <c r="C33" t="s">
        <v>27</v>
      </c>
      <c r="D33">
        <v>4</v>
      </c>
      <c r="E33">
        <v>39672</v>
      </c>
      <c r="F33">
        <v>158688</v>
      </c>
      <c r="G33" t="s">
        <v>9</v>
      </c>
      <c r="H33" t="str">
        <f>TEXT(Table1[[#This Row],[Date]],"mmm")</f>
        <v>Feb</v>
      </c>
      <c r="I33">
        <f>AVERAGE(Table1[TotalSales])</f>
        <v>92361.98</v>
      </c>
    </row>
    <row r="34" spans="1:9" x14ac:dyDescent="0.3">
      <c r="A34">
        <v>33</v>
      </c>
      <c r="B34" t="s">
        <v>48</v>
      </c>
      <c r="C34" t="s">
        <v>8</v>
      </c>
      <c r="D34">
        <v>4</v>
      </c>
      <c r="E34">
        <v>5450</v>
      </c>
      <c r="F34">
        <v>21800</v>
      </c>
      <c r="G34" t="s">
        <v>12</v>
      </c>
      <c r="H34" t="str">
        <f>TEXT(Table1[[#This Row],[Date]],"mmm")</f>
        <v>Feb</v>
      </c>
      <c r="I34">
        <f>AVERAGE(Table1[TotalSales])</f>
        <v>92361.98</v>
      </c>
    </row>
    <row r="35" spans="1:9" x14ac:dyDescent="0.3">
      <c r="A35">
        <v>34</v>
      </c>
      <c r="B35" t="s">
        <v>49</v>
      </c>
      <c r="C35" t="s">
        <v>27</v>
      </c>
      <c r="D35">
        <v>1</v>
      </c>
      <c r="E35">
        <v>57041</v>
      </c>
      <c r="F35">
        <v>57041</v>
      </c>
      <c r="G35" t="s">
        <v>9</v>
      </c>
      <c r="H35" t="str">
        <f>TEXT(Table1[[#This Row],[Date]],"mmm")</f>
        <v>Feb</v>
      </c>
      <c r="I35">
        <f>AVERAGE(Table1[TotalSales])</f>
        <v>92361.98</v>
      </c>
    </row>
    <row r="36" spans="1:9" x14ac:dyDescent="0.3">
      <c r="A36">
        <v>35</v>
      </c>
      <c r="B36" t="s">
        <v>50</v>
      </c>
      <c r="C36" t="s">
        <v>11</v>
      </c>
      <c r="D36">
        <v>4</v>
      </c>
      <c r="E36">
        <v>53908</v>
      </c>
      <c r="F36">
        <v>215632</v>
      </c>
      <c r="G36" t="s">
        <v>14</v>
      </c>
      <c r="H36" t="str">
        <f>TEXT(Table1[[#This Row],[Date]],"mmm")</f>
        <v>Feb</v>
      </c>
      <c r="I36">
        <f>AVERAGE(Table1[TotalSales])</f>
        <v>92361.98</v>
      </c>
    </row>
    <row r="37" spans="1:9" x14ac:dyDescent="0.3">
      <c r="A37">
        <v>36</v>
      </c>
      <c r="B37" t="s">
        <v>51</v>
      </c>
      <c r="C37" t="s">
        <v>22</v>
      </c>
      <c r="D37">
        <v>3</v>
      </c>
      <c r="E37">
        <v>15697</v>
      </c>
      <c r="F37">
        <v>47091</v>
      </c>
      <c r="G37" t="s">
        <v>9</v>
      </c>
      <c r="H37" t="str">
        <f>TEXT(Table1[[#This Row],[Date]],"mmm")</f>
        <v>Feb</v>
      </c>
      <c r="I37">
        <f>AVERAGE(Table1[TotalSales])</f>
        <v>92361.98</v>
      </c>
    </row>
    <row r="38" spans="1:9" x14ac:dyDescent="0.3">
      <c r="A38">
        <v>37</v>
      </c>
      <c r="B38" t="s">
        <v>52</v>
      </c>
      <c r="C38" t="s">
        <v>22</v>
      </c>
      <c r="D38">
        <v>1</v>
      </c>
      <c r="E38">
        <v>33172</v>
      </c>
      <c r="F38">
        <v>33172</v>
      </c>
      <c r="G38" t="s">
        <v>14</v>
      </c>
      <c r="H38" t="str">
        <f>TEXT(Table1[[#This Row],[Date]],"mmm")</f>
        <v>Feb</v>
      </c>
      <c r="I38">
        <f>AVERAGE(Table1[TotalSales])</f>
        <v>92361.98</v>
      </c>
    </row>
    <row r="39" spans="1:9" x14ac:dyDescent="0.3">
      <c r="A39">
        <v>38</v>
      </c>
      <c r="B39" t="s">
        <v>53</v>
      </c>
      <c r="C39" t="s">
        <v>11</v>
      </c>
      <c r="D39">
        <v>1</v>
      </c>
      <c r="E39">
        <v>20593</v>
      </c>
      <c r="F39">
        <v>20593</v>
      </c>
      <c r="G39" t="s">
        <v>16</v>
      </c>
      <c r="H39" t="str">
        <f>TEXT(Table1[[#This Row],[Date]],"mmm")</f>
        <v>Feb</v>
      </c>
      <c r="I39">
        <f>AVERAGE(Table1[TotalSales])</f>
        <v>92361.98</v>
      </c>
    </row>
    <row r="40" spans="1:9" x14ac:dyDescent="0.3">
      <c r="A40">
        <v>39</v>
      </c>
      <c r="B40" t="s">
        <v>54</v>
      </c>
      <c r="C40" t="s">
        <v>27</v>
      </c>
      <c r="D40">
        <v>5</v>
      </c>
      <c r="E40">
        <v>24887</v>
      </c>
      <c r="F40">
        <v>124435</v>
      </c>
      <c r="G40" t="s">
        <v>12</v>
      </c>
      <c r="H40" t="str">
        <f>TEXT(Table1[[#This Row],[Date]],"mmm")</f>
        <v>Feb</v>
      </c>
      <c r="I40">
        <f>AVERAGE(Table1[TotalSales])</f>
        <v>92361.98</v>
      </c>
    </row>
    <row r="41" spans="1:9" x14ac:dyDescent="0.3">
      <c r="A41">
        <v>40</v>
      </c>
      <c r="B41" t="s">
        <v>55</v>
      </c>
      <c r="C41" t="s">
        <v>20</v>
      </c>
      <c r="D41">
        <v>2</v>
      </c>
      <c r="E41">
        <v>21882</v>
      </c>
      <c r="F41">
        <v>43764</v>
      </c>
      <c r="G41" t="s">
        <v>14</v>
      </c>
      <c r="H41" t="str">
        <f>TEXT(Table1[[#This Row],[Date]],"mmm")</f>
        <v>Feb</v>
      </c>
      <c r="I41">
        <f>AVERAGE(Table1[TotalSales])</f>
        <v>92361.98</v>
      </c>
    </row>
    <row r="42" spans="1:9" x14ac:dyDescent="0.3">
      <c r="A42">
        <v>41</v>
      </c>
      <c r="B42" t="s">
        <v>56</v>
      </c>
      <c r="C42" t="s">
        <v>11</v>
      </c>
      <c r="D42">
        <v>4</v>
      </c>
      <c r="E42">
        <v>58603</v>
      </c>
      <c r="F42">
        <v>234412</v>
      </c>
      <c r="G42" t="s">
        <v>9</v>
      </c>
      <c r="H42" t="str">
        <f>TEXT(Table1[[#This Row],[Date]],"mmm")</f>
        <v>Feb</v>
      </c>
      <c r="I42">
        <f>AVERAGE(Table1[TotalSales])</f>
        <v>92361.98</v>
      </c>
    </row>
    <row r="43" spans="1:9" x14ac:dyDescent="0.3">
      <c r="A43">
        <v>42</v>
      </c>
      <c r="B43" t="s">
        <v>57</v>
      </c>
      <c r="C43" t="s">
        <v>8</v>
      </c>
      <c r="D43">
        <v>4</v>
      </c>
      <c r="E43">
        <v>26179</v>
      </c>
      <c r="F43">
        <v>104716</v>
      </c>
      <c r="G43" t="s">
        <v>12</v>
      </c>
      <c r="H43" t="str">
        <f>TEXT(Table1[[#This Row],[Date]],"mmm")</f>
        <v>Feb</v>
      </c>
      <c r="I43">
        <f>AVERAGE(Table1[TotalSales])</f>
        <v>92361.98</v>
      </c>
    </row>
    <row r="44" spans="1:9" x14ac:dyDescent="0.3">
      <c r="A44">
        <v>43</v>
      </c>
      <c r="B44" t="s">
        <v>58</v>
      </c>
      <c r="C44" t="s">
        <v>27</v>
      </c>
      <c r="D44">
        <v>2</v>
      </c>
      <c r="E44">
        <v>15370</v>
      </c>
      <c r="F44">
        <v>30740</v>
      </c>
      <c r="G44" t="s">
        <v>12</v>
      </c>
      <c r="H44" t="str">
        <f>TEXT(Table1[[#This Row],[Date]],"mmm")</f>
        <v>Feb</v>
      </c>
      <c r="I44">
        <f>AVERAGE(Table1[TotalSales])</f>
        <v>92361.98</v>
      </c>
    </row>
    <row r="45" spans="1:9" x14ac:dyDescent="0.3">
      <c r="A45">
        <v>44</v>
      </c>
      <c r="B45" t="s">
        <v>59</v>
      </c>
      <c r="C45" t="s">
        <v>20</v>
      </c>
      <c r="D45">
        <v>4</v>
      </c>
      <c r="E45">
        <v>54083</v>
      </c>
      <c r="F45">
        <v>216332</v>
      </c>
      <c r="G45" t="s">
        <v>16</v>
      </c>
      <c r="H45" t="str">
        <f>TEXT(Table1[[#This Row],[Date]],"mmm")</f>
        <v>Feb</v>
      </c>
      <c r="I45">
        <f>AVERAGE(Table1[TotalSales])</f>
        <v>92361.98</v>
      </c>
    </row>
    <row r="46" spans="1:9" x14ac:dyDescent="0.3">
      <c r="A46">
        <v>45</v>
      </c>
      <c r="B46" t="s">
        <v>60</v>
      </c>
      <c r="C46" t="s">
        <v>22</v>
      </c>
      <c r="D46">
        <v>4</v>
      </c>
      <c r="E46">
        <v>11676</v>
      </c>
      <c r="F46">
        <v>46704</v>
      </c>
      <c r="G46" t="s">
        <v>9</v>
      </c>
      <c r="H46" t="str">
        <f>TEXT(Table1[[#This Row],[Date]],"mmm")</f>
        <v>Feb</v>
      </c>
      <c r="I46">
        <f>AVERAGE(Table1[TotalSales])</f>
        <v>92361.98</v>
      </c>
    </row>
    <row r="47" spans="1:9" x14ac:dyDescent="0.3">
      <c r="A47">
        <v>46</v>
      </c>
      <c r="B47" t="s">
        <v>61</v>
      </c>
      <c r="C47" t="s">
        <v>22</v>
      </c>
      <c r="D47">
        <v>2</v>
      </c>
      <c r="E47">
        <v>54390</v>
      </c>
      <c r="F47">
        <v>108780</v>
      </c>
      <c r="G47" t="s">
        <v>9</v>
      </c>
      <c r="H47" t="str">
        <f>TEXT(Table1[[#This Row],[Date]],"mmm")</f>
        <v>Feb</v>
      </c>
      <c r="I47">
        <f>AVERAGE(Table1[TotalSales])</f>
        <v>92361.98</v>
      </c>
    </row>
    <row r="48" spans="1:9" x14ac:dyDescent="0.3">
      <c r="A48">
        <v>47</v>
      </c>
      <c r="B48" t="s">
        <v>62</v>
      </c>
      <c r="C48" t="s">
        <v>27</v>
      </c>
      <c r="D48">
        <v>4</v>
      </c>
      <c r="E48">
        <v>22209</v>
      </c>
      <c r="F48">
        <v>88836</v>
      </c>
      <c r="G48" t="s">
        <v>14</v>
      </c>
      <c r="H48" t="str">
        <f>TEXT(Table1[[#This Row],[Date]],"mmm")</f>
        <v>Feb</v>
      </c>
      <c r="I48">
        <f>AVERAGE(Table1[TotalSales])</f>
        <v>92361.98</v>
      </c>
    </row>
    <row r="49" spans="1:9" x14ac:dyDescent="0.3">
      <c r="A49">
        <v>48</v>
      </c>
      <c r="B49" t="s">
        <v>63</v>
      </c>
      <c r="C49" t="s">
        <v>27</v>
      </c>
      <c r="D49">
        <v>3</v>
      </c>
      <c r="E49">
        <v>6361</v>
      </c>
      <c r="F49">
        <v>19083</v>
      </c>
      <c r="G49" t="s">
        <v>12</v>
      </c>
      <c r="H49" t="str">
        <f>TEXT(Table1[[#This Row],[Date]],"mmm")</f>
        <v>Feb</v>
      </c>
      <c r="I49">
        <f>AVERAGE(Table1[TotalSales])</f>
        <v>92361.98</v>
      </c>
    </row>
    <row r="50" spans="1:9" x14ac:dyDescent="0.3">
      <c r="A50">
        <v>49</v>
      </c>
      <c r="B50" t="s">
        <v>64</v>
      </c>
      <c r="C50" t="s">
        <v>27</v>
      </c>
      <c r="D50">
        <v>4</v>
      </c>
      <c r="E50">
        <v>17700</v>
      </c>
      <c r="F50">
        <v>70800</v>
      </c>
      <c r="G50" t="s">
        <v>9</v>
      </c>
      <c r="H50" t="str">
        <f>TEXT(Table1[[#This Row],[Date]],"mmm")</f>
        <v>Feb</v>
      </c>
      <c r="I50">
        <f>AVERAGE(Table1[TotalSales])</f>
        <v>92361.98</v>
      </c>
    </row>
    <row r="51" spans="1:9" x14ac:dyDescent="0.3">
      <c r="A51">
        <v>50</v>
      </c>
      <c r="B51" t="s">
        <v>65</v>
      </c>
      <c r="C51" t="s">
        <v>27</v>
      </c>
      <c r="D51">
        <v>4</v>
      </c>
      <c r="E51">
        <v>13814</v>
      </c>
      <c r="F51">
        <v>55256</v>
      </c>
      <c r="G51" t="s">
        <v>9</v>
      </c>
      <c r="H51" t="str">
        <f>TEXT(Table1[[#This Row],[Date]],"mmm")</f>
        <v>Feb</v>
      </c>
      <c r="I51">
        <f>AVERAGE(Table1[TotalSales])</f>
        <v>92361.98</v>
      </c>
    </row>
    <row r="52" spans="1:9" x14ac:dyDescent="0.3">
      <c r="A52">
        <v>51</v>
      </c>
      <c r="B52" t="s">
        <v>66</v>
      </c>
      <c r="C52" t="s">
        <v>22</v>
      </c>
      <c r="D52">
        <v>4</v>
      </c>
      <c r="E52">
        <v>28488</v>
      </c>
      <c r="F52">
        <v>113952</v>
      </c>
      <c r="G52" t="s">
        <v>9</v>
      </c>
      <c r="H52" t="str">
        <f>TEXT(Table1[[#This Row],[Date]],"mmm")</f>
        <v>Feb</v>
      </c>
      <c r="I52">
        <f>AVERAGE(Table1[TotalSales])</f>
        <v>92361.98</v>
      </c>
    </row>
    <row r="53" spans="1:9" x14ac:dyDescent="0.3">
      <c r="A53">
        <v>52</v>
      </c>
      <c r="B53" t="s">
        <v>67</v>
      </c>
      <c r="C53" t="s">
        <v>27</v>
      </c>
      <c r="D53">
        <v>3</v>
      </c>
      <c r="E53">
        <v>55715</v>
      </c>
      <c r="F53">
        <v>167145</v>
      </c>
      <c r="G53" t="s">
        <v>12</v>
      </c>
      <c r="H53" t="str">
        <f>TEXT(Table1[[#This Row],[Date]],"mmm")</f>
        <v>Feb</v>
      </c>
      <c r="I53">
        <f>AVERAGE(Table1[TotalSales])</f>
        <v>92361.98</v>
      </c>
    </row>
    <row r="54" spans="1:9" x14ac:dyDescent="0.3">
      <c r="A54">
        <v>53</v>
      </c>
      <c r="B54" t="s">
        <v>68</v>
      </c>
      <c r="C54" t="s">
        <v>11</v>
      </c>
      <c r="D54">
        <v>2</v>
      </c>
      <c r="E54">
        <v>27835</v>
      </c>
      <c r="F54">
        <v>55670</v>
      </c>
      <c r="G54" t="s">
        <v>12</v>
      </c>
      <c r="H54" t="str">
        <f>TEXT(Table1[[#This Row],[Date]],"mmm")</f>
        <v>Feb</v>
      </c>
      <c r="I54">
        <f>AVERAGE(Table1[TotalSales])</f>
        <v>92361.98</v>
      </c>
    </row>
    <row r="55" spans="1:9" x14ac:dyDescent="0.3">
      <c r="A55">
        <v>54</v>
      </c>
      <c r="B55" t="s">
        <v>69</v>
      </c>
      <c r="C55" t="s">
        <v>27</v>
      </c>
      <c r="D55">
        <v>2</v>
      </c>
      <c r="E55">
        <v>49980</v>
      </c>
      <c r="F55">
        <v>99960</v>
      </c>
      <c r="G55" t="s">
        <v>16</v>
      </c>
      <c r="H55" t="str">
        <f>TEXT(Table1[[#This Row],[Date]],"mmm")</f>
        <v>Feb</v>
      </c>
      <c r="I55">
        <f>AVERAGE(Table1[TotalSales])</f>
        <v>92361.98</v>
      </c>
    </row>
    <row r="56" spans="1:9" x14ac:dyDescent="0.3">
      <c r="A56">
        <v>55</v>
      </c>
      <c r="B56" t="s">
        <v>70</v>
      </c>
      <c r="C56" t="s">
        <v>11</v>
      </c>
      <c r="D56">
        <v>3</v>
      </c>
      <c r="E56">
        <v>38824</v>
      </c>
      <c r="F56">
        <v>116472</v>
      </c>
      <c r="G56" t="s">
        <v>12</v>
      </c>
      <c r="H56" t="str">
        <f>TEXT(Table1[[#This Row],[Date]],"mmm")</f>
        <v>Feb</v>
      </c>
      <c r="I56">
        <f>AVERAGE(Table1[TotalSales])</f>
        <v>92361.98</v>
      </c>
    </row>
    <row r="57" spans="1:9" x14ac:dyDescent="0.3">
      <c r="A57">
        <v>56</v>
      </c>
      <c r="B57" t="s">
        <v>71</v>
      </c>
      <c r="C57" t="s">
        <v>27</v>
      </c>
      <c r="D57">
        <v>1</v>
      </c>
      <c r="E57">
        <v>59676</v>
      </c>
      <c r="F57">
        <v>59676</v>
      </c>
      <c r="G57" t="s">
        <v>14</v>
      </c>
      <c r="H57" t="str">
        <f>TEXT(Table1[[#This Row],[Date]],"mmm")</f>
        <v>Feb</v>
      </c>
      <c r="I57">
        <f>AVERAGE(Table1[TotalSales])</f>
        <v>92361.98</v>
      </c>
    </row>
    <row r="58" spans="1:9" x14ac:dyDescent="0.3">
      <c r="A58">
        <v>57</v>
      </c>
      <c r="B58" t="s">
        <v>72</v>
      </c>
      <c r="C58" t="s">
        <v>22</v>
      </c>
      <c r="D58">
        <v>2</v>
      </c>
      <c r="E58">
        <v>50461</v>
      </c>
      <c r="F58">
        <v>100922</v>
      </c>
      <c r="G58" t="s">
        <v>16</v>
      </c>
      <c r="H58" t="str">
        <f>TEXT(Table1[[#This Row],[Date]],"mmm")</f>
        <v>Feb</v>
      </c>
      <c r="I58">
        <f>AVERAGE(Table1[TotalSales])</f>
        <v>92361.98</v>
      </c>
    </row>
    <row r="59" spans="1:9" x14ac:dyDescent="0.3">
      <c r="A59">
        <v>58</v>
      </c>
      <c r="B59" t="s">
        <v>73</v>
      </c>
      <c r="C59" t="s">
        <v>8</v>
      </c>
      <c r="D59">
        <v>2</v>
      </c>
      <c r="E59">
        <v>25624</v>
      </c>
      <c r="F59">
        <v>51248</v>
      </c>
      <c r="G59" t="s">
        <v>16</v>
      </c>
      <c r="H59" t="str">
        <f>TEXT(Table1[[#This Row],[Date]],"mmm")</f>
        <v>Feb</v>
      </c>
      <c r="I59">
        <f>AVERAGE(Table1[TotalSales])</f>
        <v>92361.98</v>
      </c>
    </row>
    <row r="60" spans="1:9" x14ac:dyDescent="0.3">
      <c r="A60">
        <v>59</v>
      </c>
      <c r="B60" t="s">
        <v>74</v>
      </c>
      <c r="C60" t="s">
        <v>8</v>
      </c>
      <c r="D60">
        <v>5</v>
      </c>
      <c r="E60">
        <v>50019</v>
      </c>
      <c r="F60">
        <v>250095</v>
      </c>
      <c r="G60" t="s">
        <v>16</v>
      </c>
      <c r="H60" t="str">
        <f>TEXT(Table1[[#This Row],[Date]],"mmm")</f>
        <v>Feb</v>
      </c>
      <c r="I60">
        <f>AVERAGE(Table1[TotalSales])</f>
        <v>92361.98</v>
      </c>
    </row>
    <row r="61" spans="1:9" x14ac:dyDescent="0.3">
      <c r="A61">
        <v>60</v>
      </c>
      <c r="B61" t="s">
        <v>75</v>
      </c>
      <c r="C61" t="s">
        <v>8</v>
      </c>
      <c r="D61">
        <v>5</v>
      </c>
      <c r="E61">
        <v>7675</v>
      </c>
      <c r="F61">
        <v>38375</v>
      </c>
      <c r="G61" t="s">
        <v>14</v>
      </c>
      <c r="H61" t="str">
        <f>TEXT(Table1[[#This Row],[Date]],"mmm")</f>
        <v>Mar</v>
      </c>
      <c r="I61">
        <f>AVERAGE(Table1[TotalSales])</f>
        <v>92361.98</v>
      </c>
    </row>
    <row r="62" spans="1:9" x14ac:dyDescent="0.3">
      <c r="A62">
        <v>61</v>
      </c>
      <c r="B62" t="s">
        <v>76</v>
      </c>
      <c r="C62" t="s">
        <v>27</v>
      </c>
      <c r="D62">
        <v>3</v>
      </c>
      <c r="E62">
        <v>31514</v>
      </c>
      <c r="F62">
        <v>94542</v>
      </c>
      <c r="G62" t="s">
        <v>14</v>
      </c>
      <c r="H62" t="str">
        <f>TEXT(Table1[[#This Row],[Date]],"mmm")</f>
        <v>Mar</v>
      </c>
      <c r="I62">
        <f>AVERAGE(Table1[TotalSales])</f>
        <v>92361.98</v>
      </c>
    </row>
    <row r="63" spans="1:9" x14ac:dyDescent="0.3">
      <c r="A63">
        <v>62</v>
      </c>
      <c r="B63" t="s">
        <v>77</v>
      </c>
      <c r="C63" t="s">
        <v>20</v>
      </c>
      <c r="D63">
        <v>5</v>
      </c>
      <c r="E63">
        <v>54058</v>
      </c>
      <c r="F63">
        <v>270290</v>
      </c>
      <c r="G63" t="s">
        <v>16</v>
      </c>
      <c r="H63" t="str">
        <f>TEXT(Table1[[#This Row],[Date]],"mmm")</f>
        <v>Mar</v>
      </c>
      <c r="I63">
        <f>AVERAGE(Table1[TotalSales])</f>
        <v>92361.98</v>
      </c>
    </row>
    <row r="64" spans="1:9" x14ac:dyDescent="0.3">
      <c r="A64">
        <v>63</v>
      </c>
      <c r="B64" t="s">
        <v>78</v>
      </c>
      <c r="C64" t="s">
        <v>8</v>
      </c>
      <c r="D64">
        <v>3</v>
      </c>
      <c r="E64">
        <v>54235</v>
      </c>
      <c r="F64">
        <v>162705</v>
      </c>
      <c r="G64" t="s">
        <v>14</v>
      </c>
      <c r="H64" t="str">
        <f>TEXT(Table1[[#This Row],[Date]],"mmm")</f>
        <v>Mar</v>
      </c>
      <c r="I64">
        <f>AVERAGE(Table1[TotalSales])</f>
        <v>92361.98</v>
      </c>
    </row>
    <row r="65" spans="1:9" x14ac:dyDescent="0.3">
      <c r="A65">
        <v>64</v>
      </c>
      <c r="B65" t="s">
        <v>79</v>
      </c>
      <c r="C65" t="s">
        <v>27</v>
      </c>
      <c r="D65">
        <v>5</v>
      </c>
      <c r="E65">
        <v>6166</v>
      </c>
      <c r="F65">
        <v>30830</v>
      </c>
      <c r="G65" t="s">
        <v>16</v>
      </c>
      <c r="H65" t="str">
        <f>TEXT(Table1[[#This Row],[Date]],"mmm")</f>
        <v>Mar</v>
      </c>
      <c r="I65">
        <f>AVERAGE(Table1[TotalSales])</f>
        <v>92361.98</v>
      </c>
    </row>
    <row r="66" spans="1:9" x14ac:dyDescent="0.3">
      <c r="A66">
        <v>65</v>
      </c>
      <c r="B66" t="s">
        <v>80</v>
      </c>
      <c r="C66" t="s">
        <v>27</v>
      </c>
      <c r="D66">
        <v>4</v>
      </c>
      <c r="E66">
        <v>25936</v>
      </c>
      <c r="F66">
        <v>103744</v>
      </c>
      <c r="G66" t="s">
        <v>12</v>
      </c>
      <c r="H66" t="str">
        <f>TEXT(Table1[[#This Row],[Date]],"mmm")</f>
        <v>Mar</v>
      </c>
      <c r="I66">
        <f>AVERAGE(Table1[TotalSales])</f>
        <v>92361.98</v>
      </c>
    </row>
    <row r="67" spans="1:9" x14ac:dyDescent="0.3">
      <c r="A67">
        <v>66</v>
      </c>
      <c r="B67" t="s">
        <v>81</v>
      </c>
      <c r="C67" t="s">
        <v>27</v>
      </c>
      <c r="D67">
        <v>4</v>
      </c>
      <c r="E67">
        <v>7319</v>
      </c>
      <c r="F67">
        <v>29276</v>
      </c>
      <c r="G67" t="s">
        <v>14</v>
      </c>
      <c r="H67" t="str">
        <f>TEXT(Table1[[#This Row],[Date]],"mmm")</f>
        <v>Mar</v>
      </c>
      <c r="I67">
        <f>AVERAGE(Table1[TotalSales])</f>
        <v>92361.98</v>
      </c>
    </row>
    <row r="68" spans="1:9" x14ac:dyDescent="0.3">
      <c r="A68">
        <v>67</v>
      </c>
      <c r="B68" t="s">
        <v>82</v>
      </c>
      <c r="C68" t="s">
        <v>11</v>
      </c>
      <c r="D68">
        <v>3</v>
      </c>
      <c r="E68">
        <v>17189</v>
      </c>
      <c r="F68">
        <v>51567</v>
      </c>
      <c r="G68" t="s">
        <v>16</v>
      </c>
      <c r="H68" t="str">
        <f>TEXT(Table1[[#This Row],[Date]],"mmm")</f>
        <v>Mar</v>
      </c>
      <c r="I68">
        <f>AVERAGE(Table1[TotalSales])</f>
        <v>92361.98</v>
      </c>
    </row>
    <row r="69" spans="1:9" x14ac:dyDescent="0.3">
      <c r="A69">
        <v>68</v>
      </c>
      <c r="B69" t="s">
        <v>83</v>
      </c>
      <c r="C69" t="s">
        <v>11</v>
      </c>
      <c r="D69">
        <v>1</v>
      </c>
      <c r="E69">
        <v>39711</v>
      </c>
      <c r="F69">
        <v>39711</v>
      </c>
      <c r="G69" t="s">
        <v>9</v>
      </c>
      <c r="H69" t="str">
        <f>TEXT(Table1[[#This Row],[Date]],"mmm")</f>
        <v>Mar</v>
      </c>
      <c r="I69">
        <f>AVERAGE(Table1[TotalSales])</f>
        <v>92361.98</v>
      </c>
    </row>
    <row r="70" spans="1:9" x14ac:dyDescent="0.3">
      <c r="A70">
        <v>69</v>
      </c>
      <c r="B70" t="s">
        <v>84</v>
      </c>
      <c r="C70" t="s">
        <v>22</v>
      </c>
      <c r="D70">
        <v>5</v>
      </c>
      <c r="E70">
        <v>7308</v>
      </c>
      <c r="F70">
        <v>36540</v>
      </c>
      <c r="G70" t="s">
        <v>12</v>
      </c>
      <c r="H70" t="str">
        <f>TEXT(Table1[[#This Row],[Date]],"mmm")</f>
        <v>Mar</v>
      </c>
      <c r="I70">
        <f>AVERAGE(Table1[TotalSales])</f>
        <v>92361.98</v>
      </c>
    </row>
    <row r="71" spans="1:9" x14ac:dyDescent="0.3">
      <c r="A71">
        <v>70</v>
      </c>
      <c r="B71" t="s">
        <v>85</v>
      </c>
      <c r="C71" t="s">
        <v>20</v>
      </c>
      <c r="D71">
        <v>5</v>
      </c>
      <c r="E71">
        <v>27338</v>
      </c>
      <c r="F71">
        <v>136690</v>
      </c>
      <c r="G71" t="s">
        <v>16</v>
      </c>
      <c r="H71" t="str">
        <f>TEXT(Table1[[#This Row],[Date]],"mmm")</f>
        <v>Mar</v>
      </c>
      <c r="I71">
        <f>AVERAGE(Table1[TotalSales])</f>
        <v>92361.98</v>
      </c>
    </row>
    <row r="72" spans="1:9" x14ac:dyDescent="0.3">
      <c r="A72">
        <v>71</v>
      </c>
      <c r="B72" t="s">
        <v>86</v>
      </c>
      <c r="C72" t="s">
        <v>27</v>
      </c>
      <c r="D72">
        <v>3</v>
      </c>
      <c r="E72">
        <v>25821</v>
      </c>
      <c r="F72">
        <v>77463</v>
      </c>
      <c r="G72" t="s">
        <v>16</v>
      </c>
      <c r="H72" t="str">
        <f>TEXT(Table1[[#This Row],[Date]],"mmm")</f>
        <v>Mar</v>
      </c>
      <c r="I72">
        <f>AVERAGE(Table1[TotalSales])</f>
        <v>92361.98</v>
      </c>
    </row>
    <row r="73" spans="1:9" x14ac:dyDescent="0.3">
      <c r="A73">
        <v>72</v>
      </c>
      <c r="B73" t="s">
        <v>87</v>
      </c>
      <c r="C73" t="s">
        <v>8</v>
      </c>
      <c r="D73">
        <v>1</v>
      </c>
      <c r="E73">
        <v>59464</v>
      </c>
      <c r="F73">
        <v>59464</v>
      </c>
      <c r="G73" t="s">
        <v>14</v>
      </c>
      <c r="H73" t="str">
        <f>TEXT(Table1[[#This Row],[Date]],"mmm")</f>
        <v>Mar</v>
      </c>
      <c r="I73">
        <f>AVERAGE(Table1[TotalSales])</f>
        <v>92361.98</v>
      </c>
    </row>
    <row r="74" spans="1:9" x14ac:dyDescent="0.3">
      <c r="A74">
        <v>73</v>
      </c>
      <c r="B74" t="s">
        <v>88</v>
      </c>
      <c r="C74" t="s">
        <v>22</v>
      </c>
      <c r="D74">
        <v>3</v>
      </c>
      <c r="E74">
        <v>38426</v>
      </c>
      <c r="F74">
        <v>115278</v>
      </c>
      <c r="G74" t="s">
        <v>16</v>
      </c>
      <c r="H74" t="str">
        <f>TEXT(Table1[[#This Row],[Date]],"mmm")</f>
        <v>Mar</v>
      </c>
      <c r="I74">
        <f>AVERAGE(Table1[TotalSales])</f>
        <v>92361.98</v>
      </c>
    </row>
    <row r="75" spans="1:9" x14ac:dyDescent="0.3">
      <c r="A75">
        <v>74</v>
      </c>
      <c r="B75" t="s">
        <v>89</v>
      </c>
      <c r="C75" t="s">
        <v>22</v>
      </c>
      <c r="D75">
        <v>5</v>
      </c>
      <c r="E75">
        <v>39727</v>
      </c>
      <c r="F75">
        <v>198635</v>
      </c>
      <c r="G75" t="s">
        <v>12</v>
      </c>
      <c r="H75" t="str">
        <f>TEXT(Table1[[#This Row],[Date]],"mmm")</f>
        <v>Mar</v>
      </c>
      <c r="I75">
        <f>AVERAGE(Table1[TotalSales])</f>
        <v>92361.98</v>
      </c>
    </row>
    <row r="76" spans="1:9" x14ac:dyDescent="0.3">
      <c r="A76">
        <v>75</v>
      </c>
      <c r="B76" t="s">
        <v>90</v>
      </c>
      <c r="C76" t="s">
        <v>20</v>
      </c>
      <c r="D76">
        <v>1</v>
      </c>
      <c r="E76">
        <v>13900</v>
      </c>
      <c r="F76">
        <v>13900</v>
      </c>
      <c r="G76" t="s">
        <v>12</v>
      </c>
      <c r="H76" t="str">
        <f>TEXT(Table1[[#This Row],[Date]],"mmm")</f>
        <v>Mar</v>
      </c>
      <c r="I76">
        <f>AVERAGE(Table1[TotalSales])</f>
        <v>92361.98</v>
      </c>
    </row>
    <row r="77" spans="1:9" x14ac:dyDescent="0.3">
      <c r="A77">
        <v>76</v>
      </c>
      <c r="B77" t="s">
        <v>91</v>
      </c>
      <c r="C77" t="s">
        <v>27</v>
      </c>
      <c r="D77">
        <v>3</v>
      </c>
      <c r="E77">
        <v>14729</v>
      </c>
      <c r="F77">
        <v>44187</v>
      </c>
      <c r="G77" t="s">
        <v>9</v>
      </c>
      <c r="H77" t="str">
        <f>TEXT(Table1[[#This Row],[Date]],"mmm")</f>
        <v>Mar</v>
      </c>
      <c r="I77">
        <f>AVERAGE(Table1[TotalSales])</f>
        <v>92361.98</v>
      </c>
    </row>
    <row r="78" spans="1:9" x14ac:dyDescent="0.3">
      <c r="A78">
        <v>77</v>
      </c>
      <c r="B78" t="s">
        <v>92</v>
      </c>
      <c r="C78" t="s">
        <v>11</v>
      </c>
      <c r="D78">
        <v>5</v>
      </c>
      <c r="E78">
        <v>37569</v>
      </c>
      <c r="F78">
        <v>187845</v>
      </c>
      <c r="G78" t="s">
        <v>9</v>
      </c>
      <c r="H78" t="str">
        <f>TEXT(Table1[[#This Row],[Date]],"mmm")</f>
        <v>Mar</v>
      </c>
      <c r="I78">
        <f>AVERAGE(Table1[TotalSales])</f>
        <v>92361.98</v>
      </c>
    </row>
    <row r="79" spans="1:9" x14ac:dyDescent="0.3">
      <c r="A79">
        <v>78</v>
      </c>
      <c r="B79" t="s">
        <v>93</v>
      </c>
      <c r="C79" t="s">
        <v>22</v>
      </c>
      <c r="D79">
        <v>3</v>
      </c>
      <c r="E79">
        <v>58032</v>
      </c>
      <c r="F79">
        <v>174096</v>
      </c>
      <c r="G79" t="s">
        <v>9</v>
      </c>
      <c r="H79" t="str">
        <f>TEXT(Table1[[#This Row],[Date]],"mmm")</f>
        <v>Mar</v>
      </c>
      <c r="I79">
        <f>AVERAGE(Table1[TotalSales])</f>
        <v>92361.98</v>
      </c>
    </row>
    <row r="80" spans="1:9" x14ac:dyDescent="0.3">
      <c r="A80">
        <v>79</v>
      </c>
      <c r="B80" t="s">
        <v>94</v>
      </c>
      <c r="C80" t="s">
        <v>27</v>
      </c>
      <c r="D80">
        <v>3</v>
      </c>
      <c r="E80">
        <v>41792</v>
      </c>
      <c r="F80">
        <v>125376</v>
      </c>
      <c r="G80" t="s">
        <v>16</v>
      </c>
      <c r="H80" t="str">
        <f>TEXT(Table1[[#This Row],[Date]],"mmm")</f>
        <v>Mar</v>
      </c>
      <c r="I80">
        <f>AVERAGE(Table1[TotalSales])</f>
        <v>92361.98</v>
      </c>
    </row>
    <row r="81" spans="1:9" x14ac:dyDescent="0.3">
      <c r="A81">
        <v>80</v>
      </c>
      <c r="B81" t="s">
        <v>95</v>
      </c>
      <c r="C81" t="s">
        <v>27</v>
      </c>
      <c r="D81">
        <v>1</v>
      </c>
      <c r="E81">
        <v>21333</v>
      </c>
      <c r="F81">
        <v>21333</v>
      </c>
      <c r="G81" t="s">
        <v>16</v>
      </c>
      <c r="H81" t="str">
        <f>TEXT(Table1[[#This Row],[Date]],"mmm")</f>
        <v>Mar</v>
      </c>
      <c r="I81">
        <f>AVERAGE(Table1[TotalSales])</f>
        <v>92361.98</v>
      </c>
    </row>
    <row r="82" spans="1:9" x14ac:dyDescent="0.3">
      <c r="A82">
        <v>81</v>
      </c>
      <c r="B82" t="s">
        <v>96</v>
      </c>
      <c r="C82" t="s">
        <v>8</v>
      </c>
      <c r="D82">
        <v>2</v>
      </c>
      <c r="E82">
        <v>42599</v>
      </c>
      <c r="F82">
        <v>85198</v>
      </c>
      <c r="G82" t="s">
        <v>16</v>
      </c>
      <c r="H82" t="str">
        <f>TEXT(Table1[[#This Row],[Date]],"mmm")</f>
        <v>Mar</v>
      </c>
      <c r="I82">
        <f>AVERAGE(Table1[TotalSales])</f>
        <v>92361.98</v>
      </c>
    </row>
    <row r="83" spans="1:9" x14ac:dyDescent="0.3">
      <c r="A83">
        <v>82</v>
      </c>
      <c r="B83" t="s">
        <v>97</v>
      </c>
      <c r="C83" t="s">
        <v>20</v>
      </c>
      <c r="D83">
        <v>5</v>
      </c>
      <c r="E83">
        <v>36695</v>
      </c>
      <c r="F83">
        <v>183475</v>
      </c>
      <c r="G83" t="s">
        <v>9</v>
      </c>
      <c r="H83" t="str">
        <f>TEXT(Table1[[#This Row],[Date]],"mmm")</f>
        <v>Mar</v>
      </c>
      <c r="I83">
        <f>AVERAGE(Table1[TotalSales])</f>
        <v>92361.98</v>
      </c>
    </row>
    <row r="84" spans="1:9" x14ac:dyDescent="0.3">
      <c r="A84">
        <v>83</v>
      </c>
      <c r="B84" t="s">
        <v>98</v>
      </c>
      <c r="C84" t="s">
        <v>8</v>
      </c>
      <c r="D84">
        <v>3</v>
      </c>
      <c r="E84">
        <v>8029</v>
      </c>
      <c r="F84">
        <v>24087</v>
      </c>
      <c r="G84" t="s">
        <v>12</v>
      </c>
      <c r="H84" t="str">
        <f>TEXT(Table1[[#This Row],[Date]],"mmm")</f>
        <v>Mar</v>
      </c>
      <c r="I84">
        <f>AVERAGE(Table1[TotalSales])</f>
        <v>92361.98</v>
      </c>
    </row>
    <row r="85" spans="1:9" x14ac:dyDescent="0.3">
      <c r="A85">
        <v>84</v>
      </c>
      <c r="B85" t="s">
        <v>99</v>
      </c>
      <c r="C85" t="s">
        <v>22</v>
      </c>
      <c r="D85">
        <v>3</v>
      </c>
      <c r="E85">
        <v>32305</v>
      </c>
      <c r="F85">
        <v>96915</v>
      </c>
      <c r="G85" t="s">
        <v>9</v>
      </c>
      <c r="H85" t="str">
        <f>TEXT(Table1[[#This Row],[Date]],"mmm")</f>
        <v>Mar</v>
      </c>
      <c r="I85">
        <f>AVERAGE(Table1[TotalSales])</f>
        <v>92361.98</v>
      </c>
    </row>
    <row r="86" spans="1:9" x14ac:dyDescent="0.3">
      <c r="A86">
        <v>85</v>
      </c>
      <c r="B86" t="s">
        <v>100</v>
      </c>
      <c r="C86" t="s">
        <v>11</v>
      </c>
      <c r="D86">
        <v>2</v>
      </c>
      <c r="E86">
        <v>49140</v>
      </c>
      <c r="F86">
        <v>98280</v>
      </c>
      <c r="G86" t="s">
        <v>16</v>
      </c>
      <c r="H86" t="str">
        <f>TEXT(Table1[[#This Row],[Date]],"mmm")</f>
        <v>Mar</v>
      </c>
      <c r="I86">
        <f>AVERAGE(Table1[TotalSales])</f>
        <v>92361.98</v>
      </c>
    </row>
    <row r="87" spans="1:9" x14ac:dyDescent="0.3">
      <c r="A87">
        <v>86</v>
      </c>
      <c r="B87" t="s">
        <v>101</v>
      </c>
      <c r="C87" t="s">
        <v>20</v>
      </c>
      <c r="D87">
        <v>1</v>
      </c>
      <c r="E87">
        <v>22349</v>
      </c>
      <c r="F87">
        <v>22349</v>
      </c>
      <c r="G87" t="s">
        <v>9</v>
      </c>
      <c r="H87" t="str">
        <f>TEXT(Table1[[#This Row],[Date]],"mmm")</f>
        <v>Mar</v>
      </c>
      <c r="I87">
        <f>AVERAGE(Table1[TotalSales])</f>
        <v>92361.98</v>
      </c>
    </row>
    <row r="88" spans="1:9" x14ac:dyDescent="0.3">
      <c r="A88">
        <v>87</v>
      </c>
      <c r="B88" t="s">
        <v>102</v>
      </c>
      <c r="C88" t="s">
        <v>20</v>
      </c>
      <c r="D88">
        <v>5</v>
      </c>
      <c r="E88">
        <v>42285</v>
      </c>
      <c r="F88">
        <v>211425</v>
      </c>
      <c r="G88" t="s">
        <v>16</v>
      </c>
      <c r="H88" t="str">
        <f>TEXT(Table1[[#This Row],[Date]],"mmm")</f>
        <v>Mar</v>
      </c>
      <c r="I88">
        <f>AVERAGE(Table1[TotalSales])</f>
        <v>92361.98</v>
      </c>
    </row>
    <row r="89" spans="1:9" x14ac:dyDescent="0.3">
      <c r="A89">
        <v>88</v>
      </c>
      <c r="B89" t="s">
        <v>103</v>
      </c>
      <c r="C89" t="s">
        <v>8</v>
      </c>
      <c r="D89">
        <v>5</v>
      </c>
      <c r="E89">
        <v>25804</v>
      </c>
      <c r="F89">
        <v>129020</v>
      </c>
      <c r="G89" t="s">
        <v>12</v>
      </c>
      <c r="H89" t="str">
        <f>TEXT(Table1[[#This Row],[Date]],"mmm")</f>
        <v>Mar</v>
      </c>
      <c r="I89">
        <f>AVERAGE(Table1[TotalSales])</f>
        <v>92361.98</v>
      </c>
    </row>
    <row r="90" spans="1:9" x14ac:dyDescent="0.3">
      <c r="A90">
        <v>89</v>
      </c>
      <c r="B90" t="s">
        <v>104</v>
      </c>
      <c r="C90" t="s">
        <v>27</v>
      </c>
      <c r="D90">
        <v>5</v>
      </c>
      <c r="E90">
        <v>32486</v>
      </c>
      <c r="F90">
        <v>162430</v>
      </c>
      <c r="G90" t="s">
        <v>9</v>
      </c>
      <c r="H90" t="str">
        <f>TEXT(Table1[[#This Row],[Date]],"mmm")</f>
        <v>Mar</v>
      </c>
      <c r="I90">
        <f>AVERAGE(Table1[TotalSales])</f>
        <v>92361.98</v>
      </c>
    </row>
    <row r="91" spans="1:9" x14ac:dyDescent="0.3">
      <c r="A91">
        <v>90</v>
      </c>
      <c r="B91" t="s">
        <v>105</v>
      </c>
      <c r="C91" t="s">
        <v>22</v>
      </c>
      <c r="D91">
        <v>1</v>
      </c>
      <c r="E91">
        <v>26062</v>
      </c>
      <c r="F91">
        <v>26062</v>
      </c>
      <c r="G91" t="s">
        <v>14</v>
      </c>
      <c r="H91" t="str">
        <f>TEXT(Table1[[#This Row],[Date]],"mmm")</f>
        <v>Mar</v>
      </c>
      <c r="I91">
        <f>AVERAGE(Table1[TotalSales])</f>
        <v>92361.98</v>
      </c>
    </row>
    <row r="92" spans="1:9" x14ac:dyDescent="0.3">
      <c r="A92">
        <v>91</v>
      </c>
      <c r="B92" t="s">
        <v>106</v>
      </c>
      <c r="C92" t="s">
        <v>11</v>
      </c>
      <c r="D92">
        <v>1</v>
      </c>
      <c r="E92">
        <v>50161</v>
      </c>
      <c r="F92">
        <v>50161</v>
      </c>
      <c r="G92" t="s">
        <v>16</v>
      </c>
      <c r="H92" t="str">
        <f>TEXT(Table1[[#This Row],[Date]],"mmm")</f>
        <v>Apr</v>
      </c>
      <c r="I92">
        <f>AVERAGE(Table1[TotalSales])</f>
        <v>92361.98</v>
      </c>
    </row>
    <row r="93" spans="1:9" x14ac:dyDescent="0.3">
      <c r="A93">
        <v>92</v>
      </c>
      <c r="B93" t="s">
        <v>107</v>
      </c>
      <c r="C93" t="s">
        <v>27</v>
      </c>
      <c r="D93">
        <v>1</v>
      </c>
      <c r="E93">
        <v>20573</v>
      </c>
      <c r="F93">
        <v>20573</v>
      </c>
      <c r="G93" t="s">
        <v>9</v>
      </c>
      <c r="H93" t="str">
        <f>TEXT(Table1[[#This Row],[Date]],"mmm")</f>
        <v>Apr</v>
      </c>
      <c r="I93">
        <f>AVERAGE(Table1[TotalSales])</f>
        <v>92361.98</v>
      </c>
    </row>
    <row r="94" spans="1:9" x14ac:dyDescent="0.3">
      <c r="A94">
        <v>93</v>
      </c>
      <c r="B94" t="s">
        <v>108</v>
      </c>
      <c r="C94" t="s">
        <v>22</v>
      </c>
      <c r="D94">
        <v>3</v>
      </c>
      <c r="E94">
        <v>24141</v>
      </c>
      <c r="F94">
        <v>72423</v>
      </c>
      <c r="G94" t="s">
        <v>14</v>
      </c>
      <c r="H94" t="str">
        <f>TEXT(Table1[[#This Row],[Date]],"mmm")</f>
        <v>Apr</v>
      </c>
      <c r="I94">
        <f>AVERAGE(Table1[TotalSales])</f>
        <v>92361.98</v>
      </c>
    </row>
    <row r="95" spans="1:9" x14ac:dyDescent="0.3">
      <c r="A95">
        <v>94</v>
      </c>
      <c r="B95" t="s">
        <v>109</v>
      </c>
      <c r="C95" t="s">
        <v>22</v>
      </c>
      <c r="D95">
        <v>3</v>
      </c>
      <c r="E95">
        <v>49350</v>
      </c>
      <c r="F95">
        <v>148050</v>
      </c>
      <c r="G95" t="s">
        <v>9</v>
      </c>
      <c r="H95" t="str">
        <f>TEXT(Table1[[#This Row],[Date]],"mmm")</f>
        <v>Apr</v>
      </c>
      <c r="I95">
        <f>AVERAGE(Table1[TotalSales])</f>
        <v>92361.98</v>
      </c>
    </row>
    <row r="96" spans="1:9" x14ac:dyDescent="0.3">
      <c r="A96">
        <v>95</v>
      </c>
      <c r="B96" t="s">
        <v>110</v>
      </c>
      <c r="C96" t="s">
        <v>11</v>
      </c>
      <c r="D96">
        <v>2</v>
      </c>
      <c r="E96">
        <v>25136</v>
      </c>
      <c r="F96">
        <v>50272</v>
      </c>
      <c r="G96" t="s">
        <v>9</v>
      </c>
      <c r="H96" t="str">
        <f>TEXT(Table1[[#This Row],[Date]],"mmm")</f>
        <v>Apr</v>
      </c>
      <c r="I96">
        <f>AVERAGE(Table1[TotalSales])</f>
        <v>92361.98</v>
      </c>
    </row>
    <row r="97" spans="1:9" x14ac:dyDescent="0.3">
      <c r="A97">
        <v>96</v>
      </c>
      <c r="B97" t="s">
        <v>111</v>
      </c>
      <c r="C97" t="s">
        <v>8</v>
      </c>
      <c r="D97">
        <v>1</v>
      </c>
      <c r="E97">
        <v>8282</v>
      </c>
      <c r="F97">
        <v>8282</v>
      </c>
      <c r="G97" t="s">
        <v>14</v>
      </c>
      <c r="H97" t="str">
        <f>TEXT(Table1[[#This Row],[Date]],"mmm")</f>
        <v>Apr</v>
      </c>
      <c r="I97">
        <f>AVERAGE(Table1[TotalSales])</f>
        <v>92361.98</v>
      </c>
    </row>
    <row r="98" spans="1:9" x14ac:dyDescent="0.3">
      <c r="A98">
        <v>97</v>
      </c>
      <c r="B98" t="s">
        <v>112</v>
      </c>
      <c r="C98" t="s">
        <v>22</v>
      </c>
      <c r="D98">
        <v>5</v>
      </c>
      <c r="E98">
        <v>23276</v>
      </c>
      <c r="F98">
        <v>116380</v>
      </c>
      <c r="G98" t="s">
        <v>12</v>
      </c>
      <c r="H98" t="str">
        <f>TEXT(Table1[[#This Row],[Date]],"mmm")</f>
        <v>Apr</v>
      </c>
      <c r="I98">
        <f>AVERAGE(Table1[TotalSales])</f>
        <v>92361.98</v>
      </c>
    </row>
    <row r="99" spans="1:9" x14ac:dyDescent="0.3">
      <c r="A99">
        <v>98</v>
      </c>
      <c r="B99" t="s">
        <v>113</v>
      </c>
      <c r="C99" t="s">
        <v>11</v>
      </c>
      <c r="D99">
        <v>3</v>
      </c>
      <c r="E99">
        <v>23125</v>
      </c>
      <c r="F99">
        <v>69375</v>
      </c>
      <c r="G99" t="s">
        <v>16</v>
      </c>
      <c r="H99" t="str">
        <f>TEXT(Table1[[#This Row],[Date]],"mmm")</f>
        <v>Apr</v>
      </c>
      <c r="I99">
        <f>AVERAGE(Table1[TotalSales])</f>
        <v>92361.98</v>
      </c>
    </row>
    <row r="100" spans="1:9" x14ac:dyDescent="0.3">
      <c r="A100">
        <v>99</v>
      </c>
      <c r="B100" t="s">
        <v>114</v>
      </c>
      <c r="C100" t="s">
        <v>22</v>
      </c>
      <c r="D100">
        <v>1</v>
      </c>
      <c r="E100">
        <v>15210</v>
      </c>
      <c r="F100">
        <v>15210</v>
      </c>
      <c r="G100" t="s">
        <v>12</v>
      </c>
      <c r="H100" t="str">
        <f>TEXT(Table1[[#This Row],[Date]],"mmm")</f>
        <v>Apr</v>
      </c>
      <c r="I100">
        <f>AVERAGE(Table1[TotalSales])</f>
        <v>92361.98</v>
      </c>
    </row>
    <row r="101" spans="1:9" x14ac:dyDescent="0.3">
      <c r="A101">
        <v>100</v>
      </c>
      <c r="B101" t="s">
        <v>115</v>
      </c>
      <c r="C101" t="s">
        <v>27</v>
      </c>
      <c r="D101">
        <v>3</v>
      </c>
      <c r="E101">
        <v>58455</v>
      </c>
      <c r="F101">
        <v>175365</v>
      </c>
      <c r="G101" t="s">
        <v>16</v>
      </c>
      <c r="H101" t="str">
        <f>TEXT(Table1[[#This Row],[Date]],"mmm")</f>
        <v>Apr</v>
      </c>
      <c r="I101">
        <f>AVERAGE(Table1[TotalSales])</f>
        <v>92361.98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Detail2</vt:lpstr>
      <vt:lpstr>Sheet1</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psreenandha24@outlook.com</cp:lastModifiedBy>
  <dcterms:created xsi:type="dcterms:W3CDTF">2025-12-23T06:02:00Z</dcterms:created>
  <dcterms:modified xsi:type="dcterms:W3CDTF">2025-12-23T07:24:12Z</dcterms:modified>
</cp:coreProperties>
</file>